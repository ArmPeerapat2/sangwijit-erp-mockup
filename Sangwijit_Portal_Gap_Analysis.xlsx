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e Module Gap" sheetId="1" state="visible" r:id="rId3"/>
    <sheet name="Extended Module" sheetId="2" state="visible" r:id="rId4"/>
    <sheet name="Summary Roadmap" sheetId="3" state="visible" r:id="rId5"/>
  </sheets>
  <definedNames>
    <definedName function="false" hidden="true" localSheetId="0" name="_xlnm._FilterDatabase" vbProcedure="false">'Core Module Gap'!$A$1:$J$57</definedName>
    <definedName function="false" hidden="true" localSheetId="1" name="_xlnm._FilterDatabase" vbProcedure="false">'Extended Module'!$A$1:$J$31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<sst xmlns="http://schemas.openxmlformats.org/spreadsheetml/2006/main" count="687" uniqueCount="328">
  <si>
    <t xml:space="preserve">กลุ่ม</t>
  </si>
  <si>
    <t xml:space="preserve">โมดูลย่อย (จากภาพ)</t>
  </si>
  <si>
    <t xml:space="preserve">เกี่ยวข้องกับแสงวิจิตร?</t>
  </si>
  <si>
    <t xml:space="preserve">สถานะใน Portal</t>
  </si>
  <si>
    <t xml:space="preserve">Module ที่ครอบคลุม</t>
  </si>
  <si>
    <t xml:space="preserve">Gap / สิ่งที่ขาด</t>
  </si>
  <si>
    <t xml:space="preserve">Priority</t>
  </si>
  <si>
    <t xml:space="preserve">Phase แนะนำ</t>
  </si>
  <si>
    <t xml:space="preserve">ประหยัด License (คน)</t>
  </si>
  <si>
    <t xml:space="preserve">หมายเหตุ</t>
  </si>
  <si>
    <t xml:space="preserve">1. Financial Management
(บังคับ)</t>
  </si>
  <si>
    <t xml:space="preserve">General Ledger (GL)</t>
  </si>
  <si>
    <t xml:space="preserve">ใช่</t>
  </si>
  <si>
    <t xml:space="preserve">✅ มีแล้ว</t>
  </si>
  <si>
    <t xml:space="preserve">FI-4 (JV)</t>
  </si>
  <si>
    <t xml:space="preserve">BC เป็น GL หลัก, Portal บันทึก JV</t>
  </si>
  <si>
    <t xml:space="preserve">Accounts Payable (AP)</t>
  </si>
  <si>
    <t xml:space="preserve">FI-2, PO-6</t>
  </si>
  <si>
    <t xml:space="preserve">Accounts Receivable (AR)</t>
  </si>
  <si>
    <t xml:space="preserve">FI-1</t>
  </si>
  <si>
    <t xml:space="preserve">Cash Management</t>
  </si>
  <si>
    <t xml:space="preserve">FI-3</t>
  </si>
  <si>
    <t xml:space="preserve">Bank Recon</t>
  </si>
  <si>
    <t xml:space="preserve">Fixed Assets</t>
  </si>
  <si>
    <t xml:space="preserve">⚠️ ยังไม่มี</t>
  </si>
  <si>
    <t xml:space="preserve">-</t>
  </si>
  <si>
    <t xml:space="preserve">ทะเบียนสินทรัพย์, ค่าเสื่อม</t>
  </si>
  <si>
    <t xml:space="preserve">⭐⭐</t>
  </si>
  <si>
    <t xml:space="preserve">P3</t>
  </si>
  <si>
    <t xml:space="preserve">1-2</t>
  </si>
  <si>
    <t xml:space="preserve">BC FA Module มีอยู่ — Portal ทำหน้าจอ View/Approve</t>
  </si>
  <si>
    <t xml:space="preserve">Budgeting &amp; Forecasting</t>
  </si>
  <si>
    <t xml:space="preserve">งบประมาณแต่ละแผนก</t>
  </si>
  <si>
    <t xml:space="preserve">⭐</t>
  </si>
  <si>
    <t xml:space="preserve">P4</t>
  </si>
  <si>
    <t xml:space="preserve">0</t>
  </si>
  <si>
    <t xml:space="preserve">ใช้ Excel/Power BI ก่อนได้</t>
  </si>
  <si>
    <t xml:space="preserve">Financial Reporting</t>
  </si>
  <si>
    <t xml:space="preserve">งบกำไรขาดทุน, Balance Sheet</t>
  </si>
  <si>
    <t xml:space="preserve">3-5</t>
  </si>
  <si>
    <t xml:space="preserve">Report Center — ดึงจาก BC GL</t>
  </si>
  <si>
    <t xml:space="preserve">Multi-Entity Consolidation</t>
  </si>
  <si>
    <t xml:space="preserve">ใช่ (4 นิติบุคคล)</t>
  </si>
  <si>
    <t xml:space="preserve">❌ ยังไม่มี</t>
  </si>
  <si>
    <t xml:space="preserve">รวมงบ SWT/SWE/VMN/WPS</t>
  </si>
  <si>
    <t xml:space="preserve">⭐⭐⭐</t>
  </si>
  <si>
    <t xml:space="preserve">2-3</t>
  </si>
  <si>
    <t xml:space="preserve">4 นิติบุคคลต้อง Consolidate — สำคัญ!</t>
  </si>
  <si>
    <t xml:space="preserve">Bank Reconciliation</t>
  </si>
  <si>
    <t xml:space="preserve">Cost Accounting</t>
  </si>
  <si>
    <t xml:space="preserve">⚠️ บางส่วน</t>
  </si>
  <si>
    <t xml:space="preserve">SC9 (Promo)</t>
  </si>
  <si>
    <t xml:space="preserve">ต้นทุนเต็มรูปแบบ</t>
  </si>
  <si>
    <t xml:space="preserve">BC คำนวณ COGS — Portal แสดงผล</t>
  </si>
  <si>
    <t xml:space="preserve">2. HRM
(บังคับ)</t>
  </si>
  <si>
    <t xml:space="preserve">Employee Master Data</t>
  </si>
  <si>
    <t xml:space="preserve">MD-4</t>
  </si>
  <si>
    <t xml:space="preserve">ข้อมูลพนักงานพื้นฐาน</t>
  </si>
  <si>
    <t xml:space="preserve">Time &amp; Attendance</t>
  </si>
  <si>
    <t xml:space="preserve">ลงเวลา, OT, ลา</t>
  </si>
  <si>
    <t xml:space="preserve">ใช้ระบบ Scan นิ้วมืออยู่?</t>
  </si>
  <si>
    <t xml:space="preserve">Payroll</t>
  </si>
  <si>
    <t xml:space="preserve">เงินเดือน, ภาษี, ประกันสังคม</t>
  </si>
  <si>
    <t xml:space="preserve">ใช้ระบบ Payroll แยกอยู่?</t>
  </si>
  <si>
    <t xml:space="preserve">Recruitment &amp; Onboarding</t>
  </si>
  <si>
    <t xml:space="preserve">สมัครงาน, ปฐมนิเทศ</t>
  </si>
  <si>
    <t xml:space="preserve">P4+</t>
  </si>
  <si>
    <t xml:space="preserve">Volume ไม่สูง — ใช้ Manual ได้</t>
  </si>
  <si>
    <t xml:space="preserve">Benefits Administration</t>
  </si>
  <si>
    <t xml:space="preserve">สวัสดิการ, ประกันภัย</t>
  </si>
  <si>
    <t xml:space="preserve">Training &amp; Development</t>
  </si>
  <si>
    <t xml:space="preserve">อบรม, Skill Matrix ช่าง</t>
  </si>
  <si>
    <t xml:space="preserve">สำคัญสำหรับทีมช่าง 20+ คน</t>
  </si>
  <si>
    <t xml:space="preserve">Performance / KPI</t>
  </si>
  <si>
    <t xml:space="preserve">sangwijit-commission</t>
  </si>
  <si>
    <t xml:space="preserve">KPI รายบุคคล, Commission</t>
  </si>
  <si>
    <t xml:space="preserve">มี Commission skill อยู่แล้ว — ต่อยอดได้</t>
  </si>
  <si>
    <t xml:space="preserve">Org Structure</t>
  </si>
  <si>
    <t xml:space="preserve">MD-4, CF-3</t>
  </si>
  <si>
    <t xml:space="preserve">Org Chart, Report Line</t>
  </si>
  <si>
    <t xml:space="preserve">Employee Self-Service</t>
  </si>
  <si>
    <t xml:space="preserve">ดูสลิป, ขอลา, แก้ข้อมูล</t>
  </si>
  <si>
    <t xml:space="preserve">ประหยัดเวลา HR มาก</t>
  </si>
  <si>
    <t xml:space="preserve">3. Supply Chain
(บังคับ)</t>
  </si>
  <si>
    <t xml:space="preserve">Demand Planning</t>
  </si>
  <si>
    <t xml:space="preserve">พยากรณ์สั่งซื้อ</t>
  </si>
  <si>
    <t xml:space="preserve">ใช้ MOS/PSI จาก purchasing skill</t>
  </si>
  <si>
    <t xml:space="preserve">Order Fulfillment</t>
  </si>
  <si>
    <t xml:space="preserve">WH-3, SV-5</t>
  </si>
  <si>
    <t xml:space="preserve">Sales Issue + Delivery</t>
  </si>
  <si>
    <t xml:space="preserve">Logistics &amp; Transport</t>
  </si>
  <si>
    <t xml:space="preserve">SV-5 (Delivery)</t>
  </si>
  <si>
    <t xml:space="preserve">Route, GPS, ค่าขนส่ง</t>
  </si>
  <si>
    <t xml:space="preserve">Fleet Module — ถ้ามีรถ 5+ คัน</t>
  </si>
  <si>
    <t xml:space="preserve">Supplier Tracking</t>
  </si>
  <si>
    <t xml:space="preserve">PO-Q, CL-2</t>
  </si>
  <si>
    <t xml:space="preserve">Queue + Claim Tracking</t>
  </si>
  <si>
    <t xml:space="preserve">Returns Management</t>
  </si>
  <si>
    <t xml:space="preserve">SL-5, CL-1</t>
  </si>
  <si>
    <t xml:space="preserve">Credit Memo + Claim Vendor</t>
  </si>
  <si>
    <t xml:space="preserve">Traceability</t>
  </si>
  <si>
    <t xml:space="preserve">SC8 (Serial)</t>
  </si>
  <si>
    <t xml:space="preserve">Serial Tracking ทั้งระบบ</t>
  </si>
  <si>
    <t xml:space="preserve">4. Inventory
(บังคับ)</t>
  </si>
  <si>
    <t xml:space="preserve">Real-time Stock Control</t>
  </si>
  <si>
    <t xml:space="preserve">WH-Q, WH-R</t>
  </si>
  <si>
    <t xml:space="preserve">Multi-Location</t>
  </si>
  <si>
    <t xml:space="preserve">MD-5, WH-2</t>
  </si>
  <si>
    <t xml:space="preserve">Branch &amp; WH Master</t>
  </si>
  <si>
    <t xml:space="preserve">Auto Replenishment</t>
  </si>
  <si>
    <t xml:space="preserve">Reorder Point → Auto PR</t>
  </si>
  <si>
    <t xml:space="preserve">P2</t>
  </si>
  <si>
    <t xml:space="preserve">ตั้ง Reorder Point ใน Item → Auto สร้าง PR</t>
  </si>
  <si>
    <t xml:space="preserve">Lot / Serial Tracking</t>
  </si>
  <si>
    <t xml:space="preserve">SC8</t>
  </si>
  <si>
    <t xml:space="preserve">Cycle Counting</t>
  </si>
  <si>
    <t xml:space="preserve">WH-4</t>
  </si>
  <si>
    <t xml:space="preserve">Stock Count</t>
  </si>
  <si>
    <t xml:space="preserve">Inventory Valuation</t>
  </si>
  <si>
    <t xml:space="preserve">FIFO/AVG Report</t>
  </si>
  <si>
    <t xml:space="preserve">BC คำนวณ — Portal ดึง Report</t>
  </si>
  <si>
    <t xml:space="preserve">5. Procurement
(บังคับ)</t>
  </si>
  <si>
    <t xml:space="preserve">Purchase Orders (PO)</t>
  </si>
  <si>
    <t xml:space="preserve">PO-4</t>
  </si>
  <si>
    <t xml:space="preserve">RFQ / Sourcing</t>
  </si>
  <si>
    <t xml:space="preserve">PO-2</t>
  </si>
  <si>
    <t xml:space="preserve">Goods Receipt / 3-Way Match</t>
  </si>
  <si>
    <t xml:space="preserve">PO-5, PO-6</t>
  </si>
  <si>
    <t xml:space="preserve">Vendor Management</t>
  </si>
  <si>
    <t xml:space="preserve">PO-3, MD-3</t>
  </si>
  <si>
    <t xml:space="preserve">Contract Management</t>
  </si>
  <si>
    <t xml:space="preserve">สัญญา Vendor, SLA</t>
  </si>
  <si>
    <t xml:space="preserve">Trade Agreement กับห้าง — sangwijit-purchasing skill</t>
  </si>
  <si>
    <t xml:space="preserve">Vendor Evaluation</t>
  </si>
  <si>
    <t xml:space="preserve">คะแนน Vendor, ประวัติส่ง</t>
  </si>
  <si>
    <t xml:space="preserve">6. Sales &amp; CRM
(บังคับ)</t>
  </si>
  <si>
    <t xml:space="preserve">Sales Orders</t>
  </si>
  <si>
    <t xml:space="preserve">SL-1~4</t>
  </si>
  <si>
    <t xml:space="preserve">Quotation Management</t>
  </si>
  <si>
    <t xml:space="preserve">SL-1</t>
  </si>
  <si>
    <t xml:space="preserve">Pricing &amp; Discount</t>
  </si>
  <si>
    <t xml:space="preserve">PM-1~3</t>
  </si>
  <si>
    <t xml:space="preserve">Customer Service</t>
  </si>
  <si>
    <t xml:space="preserve">SV-1~4</t>
  </si>
  <si>
    <t xml:space="preserve">Service Module</t>
  </si>
  <si>
    <t xml:space="preserve">Lead &amp; Opportunity (CRM)</t>
  </si>
  <si>
    <t xml:space="preserve">ติดตามลูกค้าใหม่, Pipeline</t>
  </si>
  <si>
    <t xml:space="preserve">สำคัญสำหรับค้าส่ง+B2B</t>
  </si>
  <si>
    <t xml:space="preserve">Sales Analytics</t>
  </si>
  <si>
    <t xml:space="preserve">ยอดขาย/GP ต่อสาขา/พนง.</t>
  </si>
  <si>
    <t xml:space="preserve">5-10</t>
  </si>
  <si>
    <t xml:space="preserve">Dashboard Module — ประหยัด License มาก!</t>
  </si>
  <si>
    <t xml:space="preserve">7. Manufacturing
(บังคับ)</t>
  </si>
  <si>
    <t xml:space="preserve">BOM / Work Orders / MRP</t>
  </si>
  <si>
    <t xml:space="preserve">ไม่เกี่ยว</t>
  </si>
  <si>
    <t xml:space="preserve">- ไม่ต้อง</t>
  </si>
  <si>
    <t xml:space="preserve">แสงวิจิตรไม่ได้ผลิต — ขาย Retail/Wholesale</t>
  </si>
  <si>
    <t xml:space="preserve">Production Scheduling</t>
  </si>
  <si>
    <t xml:space="preserve">Quality Control (Factory)</t>
  </si>
  <si>
    <t xml:space="preserve">แต่ QC ตอนรับสินค้ามีใน WH-1</t>
  </si>
  <si>
    <t xml:space="preserve">Thailand Localization
(บังคับไทย)</t>
  </si>
  <si>
    <t xml:space="preserve">VAT 7%</t>
  </si>
  <si>
    <t xml:space="preserve">FI, SL, PO</t>
  </si>
  <si>
    <t xml:space="preserve">WHT PND3 / PND53</t>
  </si>
  <si>
    <t xml:space="preserve">e-Tax Invoice &amp; e-Receipt</t>
  </si>
  <si>
    <t xml:space="preserve">✅ วางแผนแล้ว</t>
  </si>
  <si>
    <t xml:space="preserve">TX (P2)</t>
  </si>
  <si>
    <t xml:space="preserve">e-Filing (RD)</t>
  </si>
  <si>
    <t xml:space="preserve">Thai GAAP (TFRS)</t>
  </si>
  <si>
    <t xml:space="preserve">⚠️ BC จัดการ</t>
  </si>
  <si>
    <t xml:space="preserve">Portal แสดง Report ตาม TFRS</t>
  </si>
  <si>
    <t xml:space="preserve">BC ทำ GL ตาม TFRS — Portal ดึงงบ</t>
  </si>
  <si>
    <t xml:space="preserve">BOT Exchange Rate</t>
  </si>
  <si>
    <t xml:space="preserve">บางส่วน</t>
  </si>
  <si>
    <t xml:space="preserve">อัตราแลกเปลี่ยน (ส่งออก)</t>
  </si>
  <si>
    <t xml:space="preserve">WPS ส่งออก — ต้องมี FX Rate</t>
  </si>
  <si>
    <t xml:space="preserve">Buddhist Era (พ.ศ.)</t>
  </si>
  <si>
    <t xml:space="preserve">⚠️ ยังไม่ชัด</t>
  </si>
  <si>
    <t xml:space="preserve">แสดงวันที่เป็น พ.ศ. ควบคู่ ค.ศ.</t>
  </si>
  <si>
    <t xml:space="preserve">P1</t>
  </si>
  <si>
    <t xml:space="preserve">Display Format — ง่าย</t>
  </si>
  <si>
    <t xml:space="preserve">Digital Signature (ETDA)</t>
  </si>
  <si>
    <t xml:space="preserve">Social Security</t>
  </si>
  <si>
    <t xml:space="preserve">ส่ง สปส. (ถ้าทำ Payroll)</t>
  </si>
  <si>
    <t xml:space="preserve">ถ้าทำ HRM Payroll ถึงเพิ่ม</t>
  </si>
  <si>
    <t xml:space="preserve">Thai Language (UTF-8)</t>
  </si>
  <si>
    <t xml:space="preserve">Bilingual</t>
  </si>
  <si>
    <t xml:space="preserve">Label ไทย+อังกฤษทุกหน้าจอ</t>
  </si>
  <si>
    <t xml:space="preserve">Extended Module (จากภาพ)</t>
  </si>
  <si>
    <t xml:space="preserve">ฟังก์ชั่นย่อย</t>
  </si>
  <si>
    <t xml:space="preserve">เกี่ยวกับแสงวิจิตร?</t>
  </si>
  <si>
    <t xml:space="preserve">Effort (Dev)</t>
  </si>
  <si>
    <t xml:space="preserve">ROI</t>
  </si>
  <si>
    <t xml:space="preserve">เหตุผล / ข้อเสนอ</t>
  </si>
  <si>
    <t xml:space="preserve">BI &amp; Analytics
📊 แนะนำอย่างยิ่ง</t>
  </si>
  <si>
    <t xml:space="preserve">Dashboard &amp; KPI Tracking</t>
  </si>
  <si>
    <t xml:space="preserve">ใช่ — สำคัญมาก</t>
  </si>
  <si>
    <t xml:space="preserve">กลาง</t>
  </si>
  <si>
    <t xml:space="preserve">สูงมาก</t>
  </si>
  <si>
    <t xml:space="preserve">ผู้บริหารต้อง Login BC เพื่อดู KPI → Portal ทำ Dashboard ให้ดูได้เลย ลด License มาก!</t>
  </si>
  <si>
    <t xml:space="preserve">Data Visualization</t>
  </si>
  <si>
    <t xml:space="preserve">❌</t>
  </si>
  <si>
    <t xml:space="preserve">Chart สรุปยอดขาย, สต็อก, AR Aging</t>
  </si>
  <si>
    <t xml:space="preserve">Custom Report Builder</t>
  </si>
  <si>
    <t xml:space="preserve">สูง</t>
  </si>
  <si>
    <t xml:space="preserve">ทำแทน BC Report Viewer → ประหยัด License อีก</t>
  </si>
  <si>
    <t xml:space="preserve">Predictive Analytics / AI</t>
  </si>
  <si>
    <t xml:space="preserve">Nice-to-have</t>
  </si>
  <si>
    <t xml:space="preserve">ต่ำ</t>
  </si>
  <si>
    <t xml:space="preserve">Demand Forecast — ต่อยอดจาก PSI ใน purchasing skill</t>
  </si>
  <si>
    <t xml:space="preserve">WMS Warehouse
(Extended)</t>
  </si>
  <si>
    <t xml:space="preserve">Pick / Pack / Ship</t>
  </si>
  <si>
    <t xml:space="preserve">WH-3 Issue มีแล้ว — เพิ่ม Pick List + Pack Verify + Ship Track</t>
  </si>
  <si>
    <t xml:space="preserve">Bin Location Management</t>
  </si>
  <si>
    <t xml:space="preserve">⚠️ เบื้องต้น</t>
  </si>
  <si>
    <t xml:space="preserve">CF-5 มี Bin Policy — เพิ่มแผนผัง Visual</t>
  </si>
  <si>
    <t xml:space="preserve">Barcode / RFID Scanning</t>
  </si>
  <si>
    <t xml:space="preserve">UX2 — Barcode Scan ทุกจุด</t>
  </si>
  <si>
    <t xml:space="preserve">Cross-Docking</t>
  </si>
  <si>
    <t xml:space="preserve">ไม่จำเป็น</t>
  </si>
  <si>
    <t xml:space="preserve">ไม่ใช่คลังขนาดใหญ่แบบ Distribution Center</t>
  </si>
  <si>
    <t xml:space="preserve">E-Commerce
อีคอมเมิร์ซ</t>
  </si>
  <si>
    <t xml:space="preserve">Online Storefront B2B/B2C</t>
  </si>
  <si>
    <t xml:space="preserve">ใช่ — ค้าส่ง B2B</t>
  </si>
  <si>
    <t xml:space="preserve">ลูกค้าค้าส่ง สั่งซื้อผ่าน Portal → ลด Load Sales + เพิ่มช่องทาง</t>
  </si>
  <si>
    <t xml:space="preserve">Marketplace (Lazada/Shopee)</t>
  </si>
  <si>
    <t xml:space="preserve">MK Module (P3)</t>
  </si>
  <si>
    <t xml:space="preserve">Payment Gateway</t>
  </si>
  <si>
    <t xml:space="preserve">QR Payment, Credit Card — ถ้าทำ B2B Portal</t>
  </si>
  <si>
    <t xml:space="preserve">Omnichannel Sales</t>
  </si>
  <si>
    <t xml:space="preserve">หน้าร้าน + ออนไลน์ + ค้าส่ง → Unified Inventory</t>
  </si>
  <si>
    <t xml:space="preserve">Mobile ERP
📱 แนะนำอย่างยิ่ง</t>
  </si>
  <si>
    <t xml:space="preserve">Mobile Dashboard</t>
  </si>
  <si>
    <t xml:space="preserve">ใช่ — สำคัญ</t>
  </si>
  <si>
    <t xml:space="preserve">⚠️ วางแผนแล้ว</t>
  </si>
  <si>
    <t xml:space="preserve">5-8</t>
  </si>
  <si>
    <t xml:space="preserve">MB Module Group B — ผู้บริหารดู KPI จากมือถือ</t>
  </si>
  <si>
    <t xml:space="preserve">Field Service App</t>
  </si>
  <si>
    <t xml:space="preserve">MB Module Group A — ช่างใช้ App ทำงาน ไม่ต้องมี BC License</t>
  </si>
  <si>
    <t xml:space="preserve">Approval On-the-Go</t>
  </si>
  <si>
    <t xml:space="preserve">★ Approval Center — ผู้อนุมัติกด Approve จากมือถือ ประหยัด License!</t>
  </si>
  <si>
    <t xml:space="preserve">Document Mgmt
DMS</t>
  </si>
  <si>
    <t xml:space="preserve">Document Storage &amp; Version</t>
  </si>
  <si>
    <t xml:space="preserve">เก็บ KYC ลูกค้า, สัญญา Vendor, ใบรับรอง</t>
  </si>
  <si>
    <t xml:space="preserve">Workflow Approval</t>
  </si>
  <si>
    <t xml:space="preserve">ทุก Module มี Approval Flow อยู่แล้ว</t>
  </si>
  <si>
    <t xml:space="preserve">Digital Signature / OCR</t>
  </si>
  <si>
    <t xml:space="preserve">Digital Sig ใน SV-4/SV-5 + TX e-Tax</t>
  </si>
  <si>
    <t xml:space="preserve">Fleet / Transport
ยานพาหนะ</t>
  </si>
  <si>
    <t xml:space="preserve">Vehicle GPS Tracking</t>
  </si>
  <si>
    <t xml:space="preserve">ใช่ (รถส่ง+รถช่าง)</t>
  </si>
  <si>
    <t xml:space="preserve">รถส่งของ + รถช่าง = Track ตำแหน่ง Real-time</t>
  </si>
  <si>
    <t xml:space="preserve">Route Optimization</t>
  </si>
  <si>
    <t xml:space="preserve">ถ้าส่งของหลาย Drop/วัน</t>
  </si>
  <si>
    <t xml:space="preserve">Driver / Fuel Management</t>
  </si>
  <si>
    <t xml:space="preserve">บันทึกค่าน้ำมัน, กม. รถ</t>
  </si>
  <si>
    <t xml:space="preserve">Quality Mgmt
QMS</t>
  </si>
  <si>
    <t xml:space="preserve">Inspection Planning</t>
  </si>
  <si>
    <t xml:space="preserve">WH-1 มี QC Flag — ยังไม่ถึง Full QMS</t>
  </si>
  <si>
    <t xml:space="preserve">ISO 9001 / 14001</t>
  </si>
  <si>
    <t xml:space="preserve">ยังไม่ต้อง Cert ISO ณ ตอนนี้</t>
  </si>
  <si>
    <t xml:space="preserve">Asset Mgmt
สินทรัพย์</t>
  </si>
  <si>
    <t xml:space="preserve">Asset Lifecycle Tracking</t>
  </si>
  <si>
    <t xml:space="preserve">BC Fixed Asset Module — Portal ทำ View ก็พอ</t>
  </si>
  <si>
    <t xml:space="preserve">Work Order / Repair (Internal)</t>
  </si>
  <si>
    <t xml:space="preserve">SV Module ซ่อมลูกค้า — ยังไม่มีซ่อมสินทรัพย์ภายใน</t>
  </si>
  <si>
    <t xml:space="preserve">Preventive Maintenance (PM)</t>
  </si>
  <si>
    <t xml:space="preserve">แจ้งเตือนบำรุงรักษารถ/เครื่องมือช่าง</t>
  </si>
  <si>
    <t xml:space="preserve">Project Mgmt</t>
  </si>
  <si>
    <t xml:space="preserve">Gantt / Planning / Timesheet</t>
  </si>
  <si>
    <t xml:space="preserve">ไม่มีงานโปรเจกต์</t>
  </si>
  <si>
    <t xml:space="preserve">GRC / Compliance</t>
  </si>
  <si>
    <t xml:space="preserve">Regulatory / Risk / SOX</t>
  </si>
  <si>
    <t xml:space="preserve">ยังไม่ถึง Scale</t>
  </si>
  <si>
    <t xml:space="preserve">ขนาดธุรกิจยังไม่ต้อง GRC เต็มรูป</t>
  </si>
  <si>
    <t xml:space="preserve">PLM</t>
  </si>
  <si>
    <t xml:space="preserve">Product Design / R&amp;D</t>
  </si>
  <si>
    <t xml:space="preserve">ไม่ได้ผลิต — ขายเครื่องใช้ไฟฟ้า</t>
  </si>
  <si>
    <t xml:space="preserve">ESG / Sustainability</t>
  </si>
  <si>
    <t xml:space="preserve">Carbon / Energy / ESG Report</t>
  </si>
  <si>
    <t xml:space="preserve">อนาคตอาจต้อง — ยังไม่เร่ง</t>
  </si>
  <si>
    <t xml:space="preserve">สรุป Gap Analysis &amp; Module Roadmap — Sangwijit ERP Portal</t>
  </si>
  <si>
    <t xml:space="preserve">สถิติ</t>
  </si>
  <si>
    <t xml:space="preserve">จำนวน</t>
  </si>
  <si>
    <t xml:space="preserve">โมดูลย่อยที่เกี่ยวข้องทั้งหมด (Core + Extended)</t>
  </si>
  <si>
    <t xml:space="preserve">✅ ทำแล้วใน Portal</t>
  </si>
  <si>
    <t xml:space="preserve">⚠️ มีบางส่วน / วางแผนแล้ว</t>
  </si>
  <si>
    <t xml:space="preserve">ไม่เกี่ยวข้อง</t>
  </si>
  <si>
    <t xml:space="preserve">🔴 แนะนำเพิ่มเติม — Priority สูงสุด (ประหยัด License ได้มาก)</t>
  </si>
  <si>
    <t xml:space="preserve">ลำดับ</t>
  </si>
  <si>
    <t xml:space="preserve">Module แนะนำ</t>
  </si>
  <si>
    <t xml:space="preserve">ทำไมสำคัญ</t>
  </si>
  <si>
    <t xml:space="preserve">ประหยัด License</t>
  </si>
  <si>
    <t xml:space="preserve">Phase</t>
  </si>
  <si>
    <t xml:space="preserve">Effort</t>
  </si>
  <si>
    <t xml:space="preserve">1</t>
  </si>
  <si>
    <t xml:space="preserve">Management Dashboard (DK)
BI &amp; KPI Portal</t>
  </si>
  <si>
    <t xml:space="preserve">ผู้บริหาร 5-10 คนไม่ต้องเข้า BC อีก
ดู KPI, ยอดขาย, สต็อก, AR Aging จาก Portal</t>
  </si>
  <si>
    <t xml:space="preserve">5-10 คน</t>
  </si>
  <si>
    <t xml:space="preserve">2</t>
  </si>
  <si>
    <t xml:space="preserve">Approval Center (AP)
ศูนย์อนุมัติรวม</t>
  </si>
  <si>
    <t xml:space="preserve">ผู้อนุมัติ 5-8 คนกด Approve จาก Portal/มือถือ
ไม่ต้องเปิด BC → PO, SO, JV, Transfer ทุกอย่าง</t>
  </si>
  <si>
    <t xml:space="preserve">5-8 คน</t>
  </si>
  <si>
    <t xml:space="preserve">3</t>
  </si>
  <si>
    <t xml:space="preserve">Report Center (RP)
ศูนย์รายงาน</t>
  </si>
  <si>
    <t xml:space="preserve">Accountant + Finance ดึง Report จาก Portal
งบ, AR/AP Aging, VAT, Stock Report ไม่ต้องเข้า BC</t>
  </si>
  <si>
    <t xml:space="preserve">3-5 คน</t>
  </si>
  <si>
    <t xml:space="preserve">4</t>
  </si>
  <si>
    <t xml:space="preserve">Multi-Entity Consolidation
รวมงบ 4 นิติบุคคล</t>
  </si>
  <si>
    <t xml:space="preserve">SWT + SWE + VMN + WPS → รวมงบ 1 ที่
GM ดูภาพรวมทั้งกลุ่มจาก Portal</t>
  </si>
  <si>
    <t xml:space="preserve">2-3 คน</t>
  </si>
  <si>
    <t xml:space="preserve">5</t>
  </si>
  <si>
    <t xml:space="preserve">B2B Customer Portal (CS)
ลูกค้าค้าส่ง สั่งเอง</t>
  </si>
  <si>
    <t xml:space="preserve">ลูกค้าค้าส่งดูสต็อก + สั่งซื้อ + ดูสถานะ
ลด Load Sales + เพิ่มช่องทาง</t>
  </si>
  <si>
    <t xml:space="preserve">0 (External)</t>
  </si>
  <si>
    <t xml:space="preserve">6</t>
  </si>
  <si>
    <t xml:space="preserve">Auto Replenishment
สั่งซื้ออัตโนมัติ</t>
  </si>
  <si>
    <t xml:space="preserve">เมื่อสต็อกต่ำกว่า Reorder Point → Auto สร้าง PR
ลดงาน Manual + ป้องกันของหมด</t>
  </si>
  <si>
    <t xml:space="preserve">💰 ประมาณการประหยัด BC License</t>
  </si>
  <si>
    <t xml:space="preserve">รายการ</t>
  </si>
  <si>
    <t xml:space="preserve">จำนวน License</t>
  </si>
  <si>
    <t xml:space="preserve">ค่า License/เดือน/คน (THB)</t>
  </si>
  <si>
    <t xml:space="preserve">ประหยัด/เดือน (THB)</t>
  </si>
  <si>
    <t xml:space="preserve">Portal ปัจจุบัน (9 Module) — ~17 คน</t>
  </si>
  <si>
    <t xml:space="preserve">+ Dashboard + Approval Center — ~14 คน</t>
  </si>
  <si>
    <t xml:space="preserve">+ Report Center + Consolidation — ~6 คน</t>
  </si>
  <si>
    <t xml:space="preserve">รวมประหยัดต่อเดือน</t>
  </si>
  <si>
    <t xml:space="preserve">รวมประหยัดต่อปี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</si>
</sst>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C8E6C9"/>
      </patternFill>
    </fill>
    <fill>
      <patternFill patternType="solid">
        <fgColor rgb="FFFFEB9C"/>
        <bgColor rgb="FFFFF2CC"/>
      </patternFill>
    </fill>
    <fill>
      <patternFill patternType="solid">
        <fgColor rgb="FFF4B084"/>
        <bgColor rgb="FFFFC7CE"/>
      </patternFill>
    </fill>
    <fill>
      <patternFill patternType="solid">
        <fgColor rgb="FFFFF2CC"/>
        <bgColor rgb="FFFFEB9C"/>
      </patternFill>
    </fill>
    <fill>
      <patternFill patternType="solid">
        <fgColor rgb="FFFFC7CE"/>
        <bgColor rgb="FFD9D9D9"/>
      </patternFill>
    </fill>
    <fill>
      <patternFill patternType="solid">
        <fgColor rgb="FFFF6B6B"/>
        <bgColor rgb="FFFF6600"/>
      </patternFill>
    </fill>
    <fill>
      <patternFill patternType="solid">
        <fgColor rgb="FFD9D9D9"/>
        <bgColor rgb="FFD6E4F0"/>
      </patternFill>
    </fill>
    <fill>
      <patternFill patternType="solid">
        <fgColor rgb="FF1B5E20"/>
        <bgColor rgb="FF1F4E79"/>
      </patternFill>
    </fill>
    <fill>
      <patternFill patternType="solid">
        <fgColor rgb="FFC8E6C9"/>
        <bgColor rgb="FFC6EFCE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C8E6C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8E6C9"/>
      <rgbColor rgb="FFC6EFCE"/>
      <rgbColor rgb="FFFFEB9C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30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23.25" hidden="false" customHeight="true" outlineLevel="0" collapsed="false">
      <c r="A2" s="3" t="s">
        <v>10</v>
      </c>
      <c r="B2" s="4" t="s">
        <v>11</v>
      </c>
      <c r="C2" s="4" t="s">
        <v>12</v>
      </c>
      <c r="D2" s="5" t="s">
        <v>13</v>
      </c>
      <c r="E2" s="4" t="s">
        <v>14</v>
      </c>
      <c r="F2" s="4"/>
      <c r="G2" s="4"/>
      <c r="H2" s="4"/>
      <c r="I2" s="4"/>
      <c r="J2" s="4" t="s">
        <v>15</v>
      </c>
    </row>
    <row r="3" customFormat="false" ht="15" hidden="false" customHeight="true" outlineLevel="0" collapsed="false">
      <c r="A3" s="4"/>
      <c r="B3" s="4" t="s">
        <v>16</v>
      </c>
      <c r="C3" s="4" t="s">
        <v>12</v>
      </c>
      <c r="D3" s="5" t="s">
        <v>13</v>
      </c>
      <c r="E3" s="4" t="s">
        <v>17</v>
      </c>
      <c r="F3" s="4"/>
      <c r="G3" s="4"/>
      <c r="H3" s="4"/>
      <c r="I3" s="4"/>
      <c r="J3" s="4"/>
    </row>
    <row r="4" customFormat="false" ht="15" hidden="false" customHeight="true" outlineLevel="0" collapsed="false">
      <c r="A4" s="4"/>
      <c r="B4" s="4" t="s">
        <v>18</v>
      </c>
      <c r="C4" s="4" t="s">
        <v>12</v>
      </c>
      <c r="D4" s="5" t="s">
        <v>13</v>
      </c>
      <c r="E4" s="4" t="s">
        <v>19</v>
      </c>
      <c r="F4" s="4"/>
      <c r="G4" s="4"/>
      <c r="H4" s="4"/>
      <c r="I4" s="4"/>
      <c r="J4" s="4"/>
    </row>
    <row r="5" customFormat="false" ht="15" hidden="false" customHeight="true" outlineLevel="0" collapsed="false">
      <c r="A5" s="4"/>
      <c r="B5" s="4" t="s">
        <v>20</v>
      </c>
      <c r="C5" s="4" t="s">
        <v>12</v>
      </c>
      <c r="D5" s="5" t="s">
        <v>13</v>
      </c>
      <c r="E5" s="4" t="s">
        <v>21</v>
      </c>
      <c r="F5" s="4"/>
      <c r="G5" s="4"/>
      <c r="H5" s="4"/>
      <c r="I5" s="4"/>
      <c r="J5" s="4" t="s">
        <v>22</v>
      </c>
    </row>
    <row r="6" customFormat="false" ht="23.25" hidden="false" customHeight="true" outlineLevel="0" collapsed="false">
      <c r="A6" s="4"/>
      <c r="B6" s="4" t="s">
        <v>23</v>
      </c>
      <c r="C6" s="4" t="s">
        <v>12</v>
      </c>
      <c r="D6" s="6" t="s">
        <v>24</v>
      </c>
      <c r="E6" s="4" t="s">
        <v>25</v>
      </c>
      <c r="F6" s="4" t="s">
        <v>26</v>
      </c>
      <c r="G6" s="7" t="s">
        <v>27</v>
      </c>
      <c r="H6" s="4" t="s">
        <v>28</v>
      </c>
      <c r="I6" s="4" t="s">
        <v>29</v>
      </c>
      <c r="J6" s="4" t="s">
        <v>30</v>
      </c>
    </row>
    <row r="7" customFormat="false" ht="15" hidden="false" customHeight="true" outlineLevel="0" collapsed="false">
      <c r="A7" s="4"/>
      <c r="B7" s="4" t="s">
        <v>31</v>
      </c>
      <c r="C7" s="4" t="s">
        <v>12</v>
      </c>
      <c r="D7" s="6" t="s">
        <v>24</v>
      </c>
      <c r="E7" s="4" t="s">
        <v>25</v>
      </c>
      <c r="F7" s="4" t="s">
        <v>32</v>
      </c>
      <c r="G7" s="8" t="s">
        <v>33</v>
      </c>
      <c r="H7" s="4" t="s">
        <v>34</v>
      </c>
      <c r="I7" s="4" t="s">
        <v>35</v>
      </c>
      <c r="J7" s="4" t="s">
        <v>36</v>
      </c>
    </row>
    <row r="8" customFormat="false" ht="23.25" hidden="false" customHeight="true" outlineLevel="0" collapsed="false">
      <c r="A8" s="4"/>
      <c r="B8" s="4" t="s">
        <v>37</v>
      </c>
      <c r="C8" s="4" t="s">
        <v>12</v>
      </c>
      <c r="D8" s="6" t="s">
        <v>24</v>
      </c>
      <c r="E8" s="4" t="s">
        <v>25</v>
      </c>
      <c r="F8" s="4" t="s">
        <v>38</v>
      </c>
      <c r="G8" s="7" t="s">
        <v>27</v>
      </c>
      <c r="H8" s="4" t="s">
        <v>28</v>
      </c>
      <c r="I8" s="4" t="s">
        <v>39</v>
      </c>
      <c r="J8" s="4" t="s">
        <v>40</v>
      </c>
    </row>
    <row r="9" customFormat="false" ht="23.25" hidden="false" customHeight="true" outlineLevel="0" collapsed="false">
      <c r="A9" s="4"/>
      <c r="B9" s="4" t="s">
        <v>41</v>
      </c>
      <c r="C9" s="4" t="s">
        <v>42</v>
      </c>
      <c r="D9" s="9" t="s">
        <v>43</v>
      </c>
      <c r="E9" s="4" t="s">
        <v>25</v>
      </c>
      <c r="F9" s="4" t="s">
        <v>44</v>
      </c>
      <c r="G9" s="10" t="s">
        <v>45</v>
      </c>
      <c r="H9" s="4" t="s">
        <v>28</v>
      </c>
      <c r="I9" s="4" t="s">
        <v>46</v>
      </c>
      <c r="J9" s="4" t="s">
        <v>47</v>
      </c>
    </row>
    <row r="10" customFormat="false" ht="15" hidden="false" customHeight="true" outlineLevel="0" collapsed="false">
      <c r="A10" s="4"/>
      <c r="B10" s="4" t="s">
        <v>48</v>
      </c>
      <c r="C10" s="4" t="s">
        <v>12</v>
      </c>
      <c r="D10" s="5" t="s">
        <v>13</v>
      </c>
      <c r="E10" s="4" t="s">
        <v>21</v>
      </c>
      <c r="F10" s="4"/>
      <c r="G10" s="4"/>
      <c r="H10" s="4"/>
      <c r="I10" s="4"/>
      <c r="J10" s="4"/>
    </row>
    <row r="11" customFormat="false" ht="23.25" hidden="false" customHeight="true" outlineLevel="0" collapsed="false">
      <c r="A11" s="4"/>
      <c r="B11" s="4" t="s">
        <v>49</v>
      </c>
      <c r="C11" s="4" t="s">
        <v>12</v>
      </c>
      <c r="D11" s="6" t="s">
        <v>50</v>
      </c>
      <c r="E11" s="4" t="s">
        <v>51</v>
      </c>
      <c r="F11" s="4" t="s">
        <v>52</v>
      </c>
      <c r="G11" s="8" t="s">
        <v>33</v>
      </c>
      <c r="H11" s="4" t="s">
        <v>34</v>
      </c>
      <c r="I11" s="4" t="s">
        <v>35</v>
      </c>
      <c r="J11" s="4" t="s">
        <v>53</v>
      </c>
    </row>
    <row r="12" customFormat="false" ht="23.25" hidden="false" customHeight="true" outlineLevel="0" collapsed="false">
      <c r="A12" s="3" t="s">
        <v>54</v>
      </c>
      <c r="B12" s="4" t="s">
        <v>55</v>
      </c>
      <c r="C12" s="4" t="s">
        <v>12</v>
      </c>
      <c r="D12" s="5" t="s">
        <v>13</v>
      </c>
      <c r="E12" s="4" t="s">
        <v>56</v>
      </c>
      <c r="F12" s="4"/>
      <c r="G12" s="4"/>
      <c r="H12" s="4"/>
      <c r="I12" s="4"/>
      <c r="J12" s="4" t="s">
        <v>57</v>
      </c>
    </row>
    <row r="13" customFormat="false" ht="23.25" hidden="false" customHeight="true" outlineLevel="0" collapsed="false">
      <c r="A13" s="4"/>
      <c r="B13" s="4" t="s">
        <v>58</v>
      </c>
      <c r="C13" s="4" t="s">
        <v>12</v>
      </c>
      <c r="D13" s="9" t="s">
        <v>43</v>
      </c>
      <c r="E13" s="4" t="s">
        <v>25</v>
      </c>
      <c r="F13" s="4" t="s">
        <v>59</v>
      </c>
      <c r="G13" s="7" t="s">
        <v>27</v>
      </c>
      <c r="H13" s="4" t="s">
        <v>28</v>
      </c>
      <c r="I13" s="4" t="s">
        <v>35</v>
      </c>
      <c r="J13" s="4" t="s">
        <v>60</v>
      </c>
    </row>
    <row r="14" customFormat="false" ht="23.25" hidden="false" customHeight="true" outlineLevel="0" collapsed="false">
      <c r="A14" s="4"/>
      <c r="B14" s="4" t="s">
        <v>61</v>
      </c>
      <c r="C14" s="4" t="s">
        <v>12</v>
      </c>
      <c r="D14" s="9" t="s">
        <v>43</v>
      </c>
      <c r="E14" s="4" t="s">
        <v>25</v>
      </c>
      <c r="F14" s="4" t="s">
        <v>62</v>
      </c>
      <c r="G14" s="7" t="s">
        <v>27</v>
      </c>
      <c r="H14" s="4" t="s">
        <v>34</v>
      </c>
      <c r="I14" s="4" t="s">
        <v>35</v>
      </c>
      <c r="J14" s="4" t="s">
        <v>63</v>
      </c>
    </row>
    <row r="15" customFormat="false" ht="23.25" hidden="false" customHeight="true" outlineLevel="0" collapsed="false">
      <c r="A15" s="4"/>
      <c r="B15" s="4" t="s">
        <v>64</v>
      </c>
      <c r="C15" s="4" t="s">
        <v>12</v>
      </c>
      <c r="D15" s="9" t="s">
        <v>43</v>
      </c>
      <c r="E15" s="4" t="s">
        <v>25</v>
      </c>
      <c r="F15" s="4" t="s">
        <v>65</v>
      </c>
      <c r="G15" s="8" t="s">
        <v>33</v>
      </c>
      <c r="H15" s="4" t="s">
        <v>66</v>
      </c>
      <c r="I15" s="4" t="s">
        <v>35</v>
      </c>
      <c r="J15" s="4" t="s">
        <v>67</v>
      </c>
    </row>
    <row r="16" customFormat="false" ht="15" hidden="false" customHeight="true" outlineLevel="0" collapsed="false">
      <c r="A16" s="4"/>
      <c r="B16" s="4" t="s">
        <v>68</v>
      </c>
      <c r="C16" s="4" t="s">
        <v>12</v>
      </c>
      <c r="D16" s="9" t="s">
        <v>43</v>
      </c>
      <c r="E16" s="4" t="s">
        <v>25</v>
      </c>
      <c r="F16" s="4" t="s">
        <v>69</v>
      </c>
      <c r="G16" s="8" t="s">
        <v>33</v>
      </c>
      <c r="H16" s="4" t="s">
        <v>66</v>
      </c>
      <c r="I16" s="4" t="s">
        <v>35</v>
      </c>
      <c r="J16" s="4"/>
    </row>
    <row r="17" customFormat="false" ht="23.25" hidden="false" customHeight="true" outlineLevel="0" collapsed="false">
      <c r="A17" s="4"/>
      <c r="B17" s="4" t="s">
        <v>70</v>
      </c>
      <c r="C17" s="4" t="s">
        <v>12</v>
      </c>
      <c r="D17" s="9" t="s">
        <v>43</v>
      </c>
      <c r="E17" s="4" t="s">
        <v>25</v>
      </c>
      <c r="F17" s="4" t="s">
        <v>71</v>
      </c>
      <c r="G17" s="7" t="s">
        <v>27</v>
      </c>
      <c r="H17" s="4" t="s">
        <v>28</v>
      </c>
      <c r="I17" s="4" t="s">
        <v>35</v>
      </c>
      <c r="J17" s="4" t="s">
        <v>72</v>
      </c>
    </row>
    <row r="18" customFormat="false" ht="23.25" hidden="false" customHeight="true" outlineLevel="0" collapsed="false">
      <c r="A18" s="4"/>
      <c r="B18" s="4" t="s">
        <v>73</v>
      </c>
      <c r="C18" s="4" t="s">
        <v>12</v>
      </c>
      <c r="D18" s="6" t="s">
        <v>50</v>
      </c>
      <c r="E18" s="4" t="s">
        <v>74</v>
      </c>
      <c r="F18" s="4" t="s">
        <v>75</v>
      </c>
      <c r="G18" s="7" t="s">
        <v>27</v>
      </c>
      <c r="H18" s="4" t="s">
        <v>28</v>
      </c>
      <c r="I18" s="4" t="s">
        <v>35</v>
      </c>
      <c r="J18" s="4" t="s">
        <v>76</v>
      </c>
    </row>
    <row r="19" customFormat="false" ht="15" hidden="false" customHeight="true" outlineLevel="0" collapsed="false">
      <c r="A19" s="4"/>
      <c r="B19" s="4" t="s">
        <v>77</v>
      </c>
      <c r="C19" s="4" t="s">
        <v>12</v>
      </c>
      <c r="D19" s="6" t="s">
        <v>50</v>
      </c>
      <c r="E19" s="4" t="s">
        <v>78</v>
      </c>
      <c r="F19" s="4" t="s">
        <v>79</v>
      </c>
      <c r="G19" s="8" t="s">
        <v>33</v>
      </c>
      <c r="H19" s="4" t="s">
        <v>34</v>
      </c>
      <c r="I19" s="4" t="s">
        <v>35</v>
      </c>
      <c r="J19" s="4"/>
    </row>
    <row r="20" customFormat="false" ht="15" hidden="false" customHeight="true" outlineLevel="0" collapsed="false">
      <c r="A20" s="4"/>
      <c r="B20" s="4" t="s">
        <v>80</v>
      </c>
      <c r="C20" s="4" t="s">
        <v>12</v>
      </c>
      <c r="D20" s="9" t="s">
        <v>43</v>
      </c>
      <c r="E20" s="4" t="s">
        <v>25</v>
      </c>
      <c r="F20" s="4" t="s">
        <v>81</v>
      </c>
      <c r="G20" s="7" t="s">
        <v>27</v>
      </c>
      <c r="H20" s="4" t="s">
        <v>28</v>
      </c>
      <c r="I20" s="4" t="s">
        <v>35</v>
      </c>
      <c r="J20" s="4" t="s">
        <v>82</v>
      </c>
    </row>
    <row r="21" customFormat="false" ht="23.25" hidden="false" customHeight="true" outlineLevel="0" collapsed="false">
      <c r="A21" s="3" t="s">
        <v>83</v>
      </c>
      <c r="B21" s="4" t="s">
        <v>84</v>
      </c>
      <c r="C21" s="4" t="s">
        <v>12</v>
      </c>
      <c r="D21" s="9" t="s">
        <v>43</v>
      </c>
      <c r="E21" s="4" t="s">
        <v>25</v>
      </c>
      <c r="F21" s="4" t="s">
        <v>85</v>
      </c>
      <c r="G21" s="7" t="s">
        <v>27</v>
      </c>
      <c r="H21" s="4" t="s">
        <v>28</v>
      </c>
      <c r="I21" s="4" t="s">
        <v>35</v>
      </c>
      <c r="J21" s="4" t="s">
        <v>86</v>
      </c>
    </row>
    <row r="22" customFormat="false" ht="15" hidden="false" customHeight="true" outlineLevel="0" collapsed="false">
      <c r="A22" s="4"/>
      <c r="B22" s="4" t="s">
        <v>87</v>
      </c>
      <c r="C22" s="4" t="s">
        <v>12</v>
      </c>
      <c r="D22" s="5" t="s">
        <v>13</v>
      </c>
      <c r="E22" s="4" t="s">
        <v>88</v>
      </c>
      <c r="F22" s="4"/>
      <c r="G22" s="4"/>
      <c r="H22" s="4"/>
      <c r="I22" s="4"/>
      <c r="J22" s="4" t="s">
        <v>89</v>
      </c>
    </row>
    <row r="23" customFormat="false" ht="23.25" hidden="false" customHeight="true" outlineLevel="0" collapsed="false">
      <c r="A23" s="4"/>
      <c r="B23" s="4" t="s">
        <v>90</v>
      </c>
      <c r="C23" s="4" t="s">
        <v>12</v>
      </c>
      <c r="D23" s="6" t="s">
        <v>50</v>
      </c>
      <c r="E23" s="4" t="s">
        <v>91</v>
      </c>
      <c r="F23" s="4" t="s">
        <v>92</v>
      </c>
      <c r="G23" s="7" t="s">
        <v>27</v>
      </c>
      <c r="H23" s="4" t="s">
        <v>28</v>
      </c>
      <c r="I23" s="4" t="s">
        <v>35</v>
      </c>
      <c r="J23" s="4" t="s">
        <v>93</v>
      </c>
    </row>
    <row r="24" customFormat="false" ht="15" hidden="false" customHeight="true" outlineLevel="0" collapsed="false">
      <c r="A24" s="4"/>
      <c r="B24" s="4" t="s">
        <v>94</v>
      </c>
      <c r="C24" s="4" t="s">
        <v>12</v>
      </c>
      <c r="D24" s="5" t="s">
        <v>13</v>
      </c>
      <c r="E24" s="4" t="s">
        <v>95</v>
      </c>
      <c r="F24" s="4"/>
      <c r="G24" s="4"/>
      <c r="H24" s="4"/>
      <c r="I24" s="4"/>
      <c r="J24" s="4" t="s">
        <v>96</v>
      </c>
    </row>
    <row r="25" customFormat="false" ht="15" hidden="false" customHeight="true" outlineLevel="0" collapsed="false">
      <c r="A25" s="4"/>
      <c r="B25" s="4" t="s">
        <v>97</v>
      </c>
      <c r="C25" s="4" t="s">
        <v>12</v>
      </c>
      <c r="D25" s="5" t="s">
        <v>13</v>
      </c>
      <c r="E25" s="4" t="s">
        <v>98</v>
      </c>
      <c r="F25" s="4"/>
      <c r="G25" s="4"/>
      <c r="H25" s="4"/>
      <c r="I25" s="4"/>
      <c r="J25" s="4" t="s">
        <v>99</v>
      </c>
    </row>
    <row r="26" customFormat="false" ht="15" hidden="false" customHeight="true" outlineLevel="0" collapsed="false">
      <c r="A26" s="4"/>
      <c r="B26" s="4" t="s">
        <v>100</v>
      </c>
      <c r="C26" s="4" t="s">
        <v>12</v>
      </c>
      <c r="D26" s="5" t="s">
        <v>13</v>
      </c>
      <c r="E26" s="4" t="s">
        <v>101</v>
      </c>
      <c r="F26" s="4"/>
      <c r="G26" s="4"/>
      <c r="H26" s="4"/>
      <c r="I26" s="4"/>
      <c r="J26" s="4" t="s">
        <v>102</v>
      </c>
    </row>
    <row r="27" customFormat="false" ht="23.25" hidden="false" customHeight="true" outlineLevel="0" collapsed="false">
      <c r="A27" s="3" t="s">
        <v>103</v>
      </c>
      <c r="B27" s="4" t="s">
        <v>104</v>
      </c>
      <c r="C27" s="4" t="s">
        <v>12</v>
      </c>
      <c r="D27" s="5" t="s">
        <v>13</v>
      </c>
      <c r="E27" s="4" t="s">
        <v>105</v>
      </c>
      <c r="F27" s="4"/>
      <c r="G27" s="4"/>
      <c r="H27" s="4"/>
      <c r="I27" s="4"/>
      <c r="J27" s="4"/>
    </row>
    <row r="28" customFormat="false" ht="15" hidden="false" customHeight="true" outlineLevel="0" collapsed="false">
      <c r="A28" s="4"/>
      <c r="B28" s="4" t="s">
        <v>106</v>
      </c>
      <c r="C28" s="4" t="s">
        <v>12</v>
      </c>
      <c r="D28" s="5" t="s">
        <v>13</v>
      </c>
      <c r="E28" s="4" t="s">
        <v>107</v>
      </c>
      <c r="F28" s="4"/>
      <c r="G28" s="4"/>
      <c r="H28" s="4"/>
      <c r="I28" s="4"/>
      <c r="J28" s="4" t="s">
        <v>108</v>
      </c>
    </row>
    <row r="29" customFormat="false" ht="23.25" hidden="false" customHeight="true" outlineLevel="0" collapsed="false">
      <c r="A29" s="4"/>
      <c r="B29" s="4" t="s">
        <v>109</v>
      </c>
      <c r="C29" s="4" t="s">
        <v>12</v>
      </c>
      <c r="D29" s="6" t="s">
        <v>24</v>
      </c>
      <c r="E29" s="4" t="s">
        <v>25</v>
      </c>
      <c r="F29" s="4" t="s">
        <v>110</v>
      </c>
      <c r="G29" s="7" t="s">
        <v>27</v>
      </c>
      <c r="H29" s="4" t="s">
        <v>111</v>
      </c>
      <c r="I29" s="4" t="s">
        <v>35</v>
      </c>
      <c r="J29" s="4" t="s">
        <v>112</v>
      </c>
    </row>
    <row r="30" customFormat="false" ht="15" hidden="false" customHeight="true" outlineLevel="0" collapsed="false">
      <c r="A30" s="4"/>
      <c r="B30" s="4" t="s">
        <v>113</v>
      </c>
      <c r="C30" s="4" t="s">
        <v>12</v>
      </c>
      <c r="D30" s="5" t="s">
        <v>13</v>
      </c>
      <c r="E30" s="4" t="s">
        <v>114</v>
      </c>
      <c r="F30" s="4"/>
      <c r="G30" s="4"/>
      <c r="H30" s="4"/>
      <c r="I30" s="4"/>
      <c r="J30" s="4"/>
    </row>
    <row r="31" customFormat="false" ht="15" hidden="false" customHeight="true" outlineLevel="0" collapsed="false">
      <c r="A31" s="4"/>
      <c r="B31" s="4" t="s">
        <v>115</v>
      </c>
      <c r="C31" s="4" t="s">
        <v>12</v>
      </c>
      <c r="D31" s="5" t="s">
        <v>13</v>
      </c>
      <c r="E31" s="4" t="s">
        <v>116</v>
      </c>
      <c r="F31" s="4"/>
      <c r="G31" s="4"/>
      <c r="H31" s="4"/>
      <c r="I31" s="4"/>
      <c r="J31" s="4" t="s">
        <v>117</v>
      </c>
    </row>
    <row r="32" customFormat="false" ht="15" hidden="false" customHeight="true" outlineLevel="0" collapsed="false">
      <c r="A32" s="4"/>
      <c r="B32" s="4" t="s">
        <v>118</v>
      </c>
      <c r="C32" s="4" t="s">
        <v>12</v>
      </c>
      <c r="D32" s="6" t="s">
        <v>50</v>
      </c>
      <c r="E32" s="4" t="s">
        <v>25</v>
      </c>
      <c r="F32" s="4" t="s">
        <v>119</v>
      </c>
      <c r="G32" s="8" t="s">
        <v>33</v>
      </c>
      <c r="H32" s="4" t="s">
        <v>28</v>
      </c>
      <c r="I32" s="4" t="s">
        <v>35</v>
      </c>
      <c r="J32" s="4" t="s">
        <v>120</v>
      </c>
    </row>
    <row r="33" customFormat="false" ht="23.25" hidden="false" customHeight="true" outlineLevel="0" collapsed="false">
      <c r="A33" s="3" t="s">
        <v>121</v>
      </c>
      <c r="B33" s="4" t="s">
        <v>122</v>
      </c>
      <c r="C33" s="4" t="s">
        <v>12</v>
      </c>
      <c r="D33" s="5" t="s">
        <v>13</v>
      </c>
      <c r="E33" s="4" t="s">
        <v>123</v>
      </c>
      <c r="F33" s="4"/>
      <c r="G33" s="4"/>
      <c r="H33" s="4"/>
      <c r="I33" s="4"/>
      <c r="J33" s="4"/>
    </row>
    <row r="34" customFormat="false" ht="15" hidden="false" customHeight="true" outlineLevel="0" collapsed="false">
      <c r="A34" s="4"/>
      <c r="B34" s="4" t="s">
        <v>124</v>
      </c>
      <c r="C34" s="4" t="s">
        <v>12</v>
      </c>
      <c r="D34" s="5" t="s">
        <v>13</v>
      </c>
      <c r="E34" s="4" t="s">
        <v>125</v>
      </c>
      <c r="F34" s="4"/>
      <c r="G34" s="4"/>
      <c r="H34" s="4"/>
      <c r="I34" s="4"/>
      <c r="J34" s="4"/>
    </row>
    <row r="35" customFormat="false" ht="15" hidden="false" customHeight="true" outlineLevel="0" collapsed="false">
      <c r="A35" s="4"/>
      <c r="B35" s="4" t="s">
        <v>126</v>
      </c>
      <c r="C35" s="4" t="s">
        <v>12</v>
      </c>
      <c r="D35" s="5" t="s">
        <v>13</v>
      </c>
      <c r="E35" s="4" t="s">
        <v>127</v>
      </c>
      <c r="F35" s="4"/>
      <c r="G35" s="4"/>
      <c r="H35" s="4"/>
      <c r="I35" s="4"/>
      <c r="J35" s="4"/>
    </row>
    <row r="36" customFormat="false" ht="15" hidden="false" customHeight="true" outlineLevel="0" collapsed="false">
      <c r="A36" s="4"/>
      <c r="B36" s="4" t="s">
        <v>128</v>
      </c>
      <c r="C36" s="4" t="s">
        <v>12</v>
      </c>
      <c r="D36" s="5" t="s">
        <v>13</v>
      </c>
      <c r="E36" s="4" t="s">
        <v>129</v>
      </c>
      <c r="F36" s="4"/>
      <c r="G36" s="4"/>
      <c r="H36" s="4"/>
      <c r="I36" s="4"/>
      <c r="J36" s="4"/>
    </row>
    <row r="37" customFormat="false" ht="23.25" hidden="false" customHeight="true" outlineLevel="0" collapsed="false">
      <c r="A37" s="4"/>
      <c r="B37" s="4" t="s">
        <v>130</v>
      </c>
      <c r="C37" s="4" t="s">
        <v>12</v>
      </c>
      <c r="D37" s="6" t="s">
        <v>24</v>
      </c>
      <c r="E37" s="4" t="s">
        <v>25</v>
      </c>
      <c r="F37" s="4" t="s">
        <v>131</v>
      </c>
      <c r="G37" s="7" t="s">
        <v>27</v>
      </c>
      <c r="H37" s="4" t="s">
        <v>28</v>
      </c>
      <c r="I37" s="4" t="s">
        <v>35</v>
      </c>
      <c r="J37" s="4" t="s">
        <v>132</v>
      </c>
    </row>
    <row r="38" customFormat="false" ht="15" hidden="false" customHeight="true" outlineLevel="0" collapsed="false">
      <c r="A38" s="4"/>
      <c r="B38" s="4" t="s">
        <v>133</v>
      </c>
      <c r="C38" s="4" t="s">
        <v>12</v>
      </c>
      <c r="D38" s="6" t="s">
        <v>24</v>
      </c>
      <c r="E38" s="4" t="s">
        <v>25</v>
      </c>
      <c r="F38" s="4" t="s">
        <v>134</v>
      </c>
      <c r="G38" s="8" t="s">
        <v>33</v>
      </c>
      <c r="H38" s="4" t="s">
        <v>34</v>
      </c>
      <c r="I38" s="4" t="s">
        <v>35</v>
      </c>
      <c r="J38" s="4"/>
    </row>
    <row r="39" customFormat="false" ht="23.25" hidden="false" customHeight="true" outlineLevel="0" collapsed="false">
      <c r="A39" s="3" t="s">
        <v>135</v>
      </c>
      <c r="B39" s="4" t="s">
        <v>136</v>
      </c>
      <c r="C39" s="4" t="s">
        <v>12</v>
      </c>
      <c r="D39" s="5" t="s">
        <v>13</v>
      </c>
      <c r="E39" s="4" t="s">
        <v>137</v>
      </c>
      <c r="F39" s="4"/>
      <c r="G39" s="4"/>
      <c r="H39" s="4"/>
      <c r="I39" s="4"/>
      <c r="J39" s="4"/>
    </row>
    <row r="40" customFormat="false" ht="15" hidden="false" customHeight="true" outlineLevel="0" collapsed="false">
      <c r="A40" s="4"/>
      <c r="B40" s="4" t="s">
        <v>138</v>
      </c>
      <c r="C40" s="4" t="s">
        <v>12</v>
      </c>
      <c r="D40" s="5" t="s">
        <v>13</v>
      </c>
      <c r="E40" s="4" t="s">
        <v>139</v>
      </c>
      <c r="F40" s="4"/>
      <c r="G40" s="4"/>
      <c r="H40" s="4"/>
      <c r="I40" s="4"/>
      <c r="J40" s="4"/>
    </row>
    <row r="41" customFormat="false" ht="15" hidden="false" customHeight="true" outlineLevel="0" collapsed="false">
      <c r="A41" s="4"/>
      <c r="B41" s="4" t="s">
        <v>140</v>
      </c>
      <c r="C41" s="4" t="s">
        <v>12</v>
      </c>
      <c r="D41" s="5" t="s">
        <v>13</v>
      </c>
      <c r="E41" s="4" t="s">
        <v>141</v>
      </c>
      <c r="F41" s="4"/>
      <c r="G41" s="4"/>
      <c r="H41" s="4"/>
      <c r="I41" s="4"/>
      <c r="J41" s="4"/>
    </row>
    <row r="42" customFormat="false" ht="15" hidden="false" customHeight="true" outlineLevel="0" collapsed="false">
      <c r="A42" s="4"/>
      <c r="B42" s="4" t="s">
        <v>142</v>
      </c>
      <c r="C42" s="4" t="s">
        <v>12</v>
      </c>
      <c r="D42" s="5" t="s">
        <v>13</v>
      </c>
      <c r="E42" s="4" t="s">
        <v>143</v>
      </c>
      <c r="F42" s="4"/>
      <c r="G42" s="4"/>
      <c r="H42" s="4"/>
      <c r="I42" s="4"/>
      <c r="J42" s="4" t="s">
        <v>144</v>
      </c>
    </row>
    <row r="43" customFormat="false" ht="23.25" hidden="false" customHeight="true" outlineLevel="0" collapsed="false">
      <c r="A43" s="4"/>
      <c r="B43" s="4" t="s">
        <v>145</v>
      </c>
      <c r="C43" s="4" t="s">
        <v>12</v>
      </c>
      <c r="D43" s="9" t="s">
        <v>43</v>
      </c>
      <c r="E43" s="4" t="s">
        <v>25</v>
      </c>
      <c r="F43" s="4" t="s">
        <v>146</v>
      </c>
      <c r="G43" s="7" t="s">
        <v>27</v>
      </c>
      <c r="H43" s="4" t="s">
        <v>28</v>
      </c>
      <c r="I43" s="4" t="s">
        <v>35</v>
      </c>
      <c r="J43" s="4" t="s">
        <v>147</v>
      </c>
    </row>
    <row r="44" customFormat="false" ht="23.25" hidden="false" customHeight="true" outlineLevel="0" collapsed="false">
      <c r="A44" s="4"/>
      <c r="B44" s="4" t="s">
        <v>148</v>
      </c>
      <c r="C44" s="4" t="s">
        <v>12</v>
      </c>
      <c r="D44" s="6" t="s">
        <v>24</v>
      </c>
      <c r="E44" s="4" t="s">
        <v>25</v>
      </c>
      <c r="F44" s="4" t="s">
        <v>149</v>
      </c>
      <c r="G44" s="10" t="s">
        <v>45</v>
      </c>
      <c r="H44" s="4" t="s">
        <v>111</v>
      </c>
      <c r="I44" s="4" t="s">
        <v>150</v>
      </c>
      <c r="J44" s="4" t="s">
        <v>151</v>
      </c>
    </row>
    <row r="45" customFormat="false" ht="23.25" hidden="false" customHeight="true" outlineLevel="0" collapsed="false">
      <c r="A45" s="3" t="s">
        <v>152</v>
      </c>
      <c r="B45" s="4" t="s">
        <v>153</v>
      </c>
      <c r="C45" s="4" t="s">
        <v>154</v>
      </c>
      <c r="D45" s="11" t="s">
        <v>155</v>
      </c>
      <c r="E45" s="4" t="s">
        <v>25</v>
      </c>
      <c r="F45" s="4"/>
      <c r="G45" s="4"/>
      <c r="H45" s="4"/>
      <c r="I45" s="4"/>
      <c r="J45" s="4" t="s">
        <v>156</v>
      </c>
    </row>
    <row r="46" customFormat="false" ht="15" hidden="false" customHeight="true" outlineLevel="0" collapsed="false">
      <c r="A46" s="4"/>
      <c r="B46" s="4" t="s">
        <v>157</v>
      </c>
      <c r="C46" s="4" t="s">
        <v>154</v>
      </c>
      <c r="D46" s="11" t="s">
        <v>155</v>
      </c>
      <c r="E46" s="4" t="s">
        <v>25</v>
      </c>
      <c r="F46" s="4"/>
      <c r="G46" s="4"/>
      <c r="H46" s="4"/>
      <c r="I46" s="4"/>
      <c r="J46" s="4"/>
    </row>
    <row r="47" customFormat="false" ht="23.25" hidden="false" customHeight="true" outlineLevel="0" collapsed="false">
      <c r="A47" s="4"/>
      <c r="B47" s="4" t="s">
        <v>158</v>
      </c>
      <c r="C47" s="4" t="s">
        <v>154</v>
      </c>
      <c r="D47" s="11" t="s">
        <v>155</v>
      </c>
      <c r="E47" s="4" t="s">
        <v>25</v>
      </c>
      <c r="F47" s="4"/>
      <c r="G47" s="4"/>
      <c r="H47" s="4"/>
      <c r="I47" s="4"/>
      <c r="J47" s="4" t="s">
        <v>159</v>
      </c>
    </row>
    <row r="48" customFormat="false" ht="23.25" hidden="false" customHeight="true" outlineLevel="0" collapsed="false">
      <c r="A48" s="3" t="s">
        <v>160</v>
      </c>
      <c r="B48" s="4" t="s">
        <v>161</v>
      </c>
      <c r="C48" s="4" t="s">
        <v>12</v>
      </c>
      <c r="D48" s="5" t="s">
        <v>13</v>
      </c>
      <c r="E48" s="4" t="s">
        <v>162</v>
      </c>
      <c r="F48" s="4"/>
      <c r="G48" s="4"/>
      <c r="H48" s="4"/>
      <c r="I48" s="4"/>
      <c r="J48" s="4"/>
    </row>
    <row r="49" customFormat="false" ht="15" hidden="false" customHeight="true" outlineLevel="0" collapsed="false">
      <c r="A49" s="4"/>
      <c r="B49" s="4" t="s">
        <v>163</v>
      </c>
      <c r="C49" s="4" t="s">
        <v>12</v>
      </c>
      <c r="D49" s="5" t="s">
        <v>13</v>
      </c>
      <c r="E49" s="4" t="s">
        <v>17</v>
      </c>
      <c r="F49" s="4"/>
      <c r="G49" s="4"/>
      <c r="H49" s="4"/>
      <c r="I49" s="4"/>
      <c r="J49" s="4"/>
    </row>
    <row r="50" customFormat="false" ht="23.25" hidden="false" customHeight="true" outlineLevel="0" collapsed="false">
      <c r="A50" s="4"/>
      <c r="B50" s="4" t="s">
        <v>164</v>
      </c>
      <c r="C50" s="4" t="s">
        <v>12</v>
      </c>
      <c r="D50" s="5" t="s">
        <v>165</v>
      </c>
      <c r="E50" s="4" t="s">
        <v>166</v>
      </c>
      <c r="F50" s="4"/>
      <c r="G50" s="4"/>
      <c r="H50" s="4"/>
      <c r="I50" s="4"/>
      <c r="J50" s="4"/>
    </row>
    <row r="51" customFormat="false" ht="23.25" hidden="false" customHeight="true" outlineLevel="0" collapsed="false">
      <c r="A51" s="4"/>
      <c r="B51" s="4" t="s">
        <v>167</v>
      </c>
      <c r="C51" s="4" t="s">
        <v>12</v>
      </c>
      <c r="D51" s="5" t="s">
        <v>165</v>
      </c>
      <c r="E51" s="4" t="s">
        <v>166</v>
      </c>
      <c r="F51" s="4"/>
      <c r="G51" s="4"/>
      <c r="H51" s="4"/>
      <c r="I51" s="4"/>
      <c r="J51" s="4"/>
    </row>
    <row r="52" customFormat="false" ht="23.25" hidden="false" customHeight="true" outlineLevel="0" collapsed="false">
      <c r="A52" s="4"/>
      <c r="B52" s="4" t="s">
        <v>168</v>
      </c>
      <c r="C52" s="4" t="s">
        <v>12</v>
      </c>
      <c r="D52" s="6" t="s">
        <v>169</v>
      </c>
      <c r="E52" s="4" t="s">
        <v>25</v>
      </c>
      <c r="F52" s="4" t="s">
        <v>170</v>
      </c>
      <c r="G52" s="8" t="s">
        <v>33</v>
      </c>
      <c r="H52" s="4" t="s">
        <v>28</v>
      </c>
      <c r="I52" s="4" t="s">
        <v>35</v>
      </c>
      <c r="J52" s="4" t="s">
        <v>171</v>
      </c>
    </row>
    <row r="53" customFormat="false" ht="23.25" hidden="false" customHeight="true" outlineLevel="0" collapsed="false">
      <c r="A53" s="4"/>
      <c r="B53" s="4" t="s">
        <v>172</v>
      </c>
      <c r="C53" s="4" t="s">
        <v>173</v>
      </c>
      <c r="D53" s="6" t="s">
        <v>24</v>
      </c>
      <c r="E53" s="4" t="s">
        <v>25</v>
      </c>
      <c r="F53" s="4" t="s">
        <v>174</v>
      </c>
      <c r="G53" s="8" t="s">
        <v>33</v>
      </c>
      <c r="H53" s="4" t="s">
        <v>28</v>
      </c>
      <c r="I53" s="4" t="s">
        <v>35</v>
      </c>
      <c r="J53" s="4" t="s">
        <v>175</v>
      </c>
    </row>
    <row r="54" customFormat="false" ht="23.25" hidden="false" customHeight="true" outlineLevel="0" collapsed="false">
      <c r="A54" s="4"/>
      <c r="B54" s="4" t="s">
        <v>176</v>
      </c>
      <c r="C54" s="4" t="s">
        <v>12</v>
      </c>
      <c r="D54" s="6" t="s">
        <v>177</v>
      </c>
      <c r="E54" s="4" t="s">
        <v>25</v>
      </c>
      <c r="F54" s="4" t="s">
        <v>178</v>
      </c>
      <c r="G54" s="8" t="s">
        <v>33</v>
      </c>
      <c r="H54" s="4" t="s">
        <v>179</v>
      </c>
      <c r="I54" s="4" t="s">
        <v>35</v>
      </c>
      <c r="J54" s="4" t="s">
        <v>180</v>
      </c>
    </row>
    <row r="55" customFormat="false" ht="23.25" hidden="false" customHeight="true" outlineLevel="0" collapsed="false">
      <c r="A55" s="4"/>
      <c r="B55" s="4" t="s">
        <v>181</v>
      </c>
      <c r="C55" s="4" t="s">
        <v>12</v>
      </c>
      <c r="D55" s="5" t="s">
        <v>165</v>
      </c>
      <c r="E55" s="4" t="s">
        <v>166</v>
      </c>
      <c r="F55" s="4"/>
      <c r="G55" s="4"/>
      <c r="H55" s="4"/>
      <c r="I55" s="4"/>
      <c r="J55" s="4"/>
    </row>
    <row r="56" customFormat="false" ht="23.25" hidden="false" customHeight="true" outlineLevel="0" collapsed="false">
      <c r="A56" s="4"/>
      <c r="B56" s="4" t="s">
        <v>182</v>
      </c>
      <c r="C56" s="4" t="s">
        <v>12</v>
      </c>
      <c r="D56" s="9" t="s">
        <v>43</v>
      </c>
      <c r="E56" s="4" t="s">
        <v>25</v>
      </c>
      <c r="F56" s="4" t="s">
        <v>183</v>
      </c>
      <c r="G56" s="8" t="s">
        <v>33</v>
      </c>
      <c r="H56" s="4" t="s">
        <v>34</v>
      </c>
      <c r="I56" s="4" t="s">
        <v>35</v>
      </c>
      <c r="J56" s="4" t="s">
        <v>184</v>
      </c>
    </row>
    <row r="57" customFormat="false" ht="23.25" hidden="false" customHeight="true" outlineLevel="0" collapsed="false">
      <c r="A57" s="4"/>
      <c r="B57" s="4" t="s">
        <v>185</v>
      </c>
      <c r="C57" s="4" t="s">
        <v>12</v>
      </c>
      <c r="D57" s="5" t="s">
        <v>13</v>
      </c>
      <c r="E57" s="4" t="s">
        <v>186</v>
      </c>
      <c r="F57" s="4"/>
      <c r="G57" s="4"/>
      <c r="H57" s="4"/>
      <c r="I57" s="4"/>
      <c r="J57" s="4" t="s">
        <v>187</v>
      </c>
    </row>
  </sheetData>
  <autoFilter ref="A1:J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40"/>
  </cols>
  <sheetData>
    <row r="1" customFormat="false" ht="34.5" hidden="false" customHeight="true" outlineLevel="0" collapsed="false">
      <c r="A1" s="12" t="s">
        <v>188</v>
      </c>
      <c r="B1" s="12" t="s">
        <v>189</v>
      </c>
      <c r="C1" s="12" t="s">
        <v>190</v>
      </c>
      <c r="D1" s="12" t="s">
        <v>3</v>
      </c>
      <c r="E1" s="12" t="s">
        <v>6</v>
      </c>
      <c r="F1" s="12" t="s">
        <v>7</v>
      </c>
      <c r="G1" s="12" t="s">
        <v>8</v>
      </c>
      <c r="H1" s="12" t="s">
        <v>191</v>
      </c>
      <c r="I1" s="12" t="s">
        <v>192</v>
      </c>
      <c r="J1" s="12" t="s">
        <v>193</v>
      </c>
    </row>
    <row r="2" customFormat="false" ht="34.5" hidden="false" customHeight="true" outlineLevel="0" collapsed="false">
      <c r="A2" s="13" t="s">
        <v>194</v>
      </c>
      <c r="B2" s="4" t="s">
        <v>195</v>
      </c>
      <c r="C2" s="4" t="s">
        <v>196</v>
      </c>
      <c r="D2" s="9" t="s">
        <v>43</v>
      </c>
      <c r="E2" s="10" t="s">
        <v>45</v>
      </c>
      <c r="F2" s="4" t="s">
        <v>111</v>
      </c>
      <c r="G2" s="4" t="s">
        <v>150</v>
      </c>
      <c r="H2" s="4" t="s">
        <v>197</v>
      </c>
      <c r="I2" s="4" t="s">
        <v>198</v>
      </c>
      <c r="J2" s="4" t="s">
        <v>199</v>
      </c>
    </row>
    <row r="3" customFormat="false" ht="15" hidden="false" customHeight="true" outlineLevel="0" collapsed="false">
      <c r="A3" s="4"/>
      <c r="B3" s="4" t="s">
        <v>200</v>
      </c>
      <c r="C3" s="4" t="s">
        <v>12</v>
      </c>
      <c r="D3" s="9" t="s">
        <v>201</v>
      </c>
      <c r="E3" s="7" t="s">
        <v>27</v>
      </c>
      <c r="F3" s="4" t="s">
        <v>111</v>
      </c>
      <c r="G3" s="4"/>
      <c r="H3" s="4"/>
      <c r="I3" s="4"/>
      <c r="J3" s="4" t="s">
        <v>202</v>
      </c>
    </row>
    <row r="4" customFormat="false" ht="23.25" hidden="false" customHeight="true" outlineLevel="0" collapsed="false">
      <c r="A4" s="4"/>
      <c r="B4" s="4" t="s">
        <v>203</v>
      </c>
      <c r="C4" s="4" t="s">
        <v>12</v>
      </c>
      <c r="D4" s="9" t="s">
        <v>201</v>
      </c>
      <c r="E4" s="7" t="s">
        <v>27</v>
      </c>
      <c r="F4" s="4" t="s">
        <v>28</v>
      </c>
      <c r="G4" s="4" t="s">
        <v>39</v>
      </c>
      <c r="H4" s="4" t="s">
        <v>204</v>
      </c>
      <c r="I4" s="4" t="s">
        <v>197</v>
      </c>
      <c r="J4" s="4" t="s">
        <v>205</v>
      </c>
    </row>
    <row r="5" customFormat="false" ht="23.25" hidden="false" customHeight="true" outlineLevel="0" collapsed="false">
      <c r="A5" s="4"/>
      <c r="B5" s="4" t="s">
        <v>206</v>
      </c>
      <c r="C5" s="4" t="s">
        <v>207</v>
      </c>
      <c r="D5" s="9" t="s">
        <v>201</v>
      </c>
      <c r="E5" s="8" t="s">
        <v>33</v>
      </c>
      <c r="F5" s="4" t="s">
        <v>66</v>
      </c>
      <c r="G5" s="4" t="s">
        <v>35</v>
      </c>
      <c r="H5" s="4" t="s">
        <v>204</v>
      </c>
      <c r="I5" s="4" t="s">
        <v>208</v>
      </c>
      <c r="J5" s="4" t="s">
        <v>209</v>
      </c>
    </row>
    <row r="6" customFormat="false" ht="23.25" hidden="false" customHeight="true" outlineLevel="0" collapsed="false">
      <c r="A6" s="13" t="s">
        <v>210</v>
      </c>
      <c r="B6" s="4" t="s">
        <v>211</v>
      </c>
      <c r="C6" s="4" t="s">
        <v>12</v>
      </c>
      <c r="D6" s="6" t="s">
        <v>50</v>
      </c>
      <c r="E6" s="7" t="s">
        <v>27</v>
      </c>
      <c r="F6" s="4" t="s">
        <v>111</v>
      </c>
      <c r="G6" s="4" t="s">
        <v>35</v>
      </c>
      <c r="H6" s="4" t="s">
        <v>197</v>
      </c>
      <c r="I6" s="4" t="s">
        <v>197</v>
      </c>
      <c r="J6" s="4" t="s">
        <v>212</v>
      </c>
    </row>
    <row r="7" customFormat="false" ht="23.25" hidden="false" customHeight="true" outlineLevel="0" collapsed="false">
      <c r="A7" s="4"/>
      <c r="B7" s="4" t="s">
        <v>213</v>
      </c>
      <c r="C7" s="4" t="s">
        <v>12</v>
      </c>
      <c r="D7" s="6" t="s">
        <v>214</v>
      </c>
      <c r="E7" s="8" t="s">
        <v>33</v>
      </c>
      <c r="F7" s="4" t="s">
        <v>111</v>
      </c>
      <c r="G7" s="4" t="s">
        <v>35</v>
      </c>
      <c r="H7" s="4" t="s">
        <v>208</v>
      </c>
      <c r="I7" s="4" t="s">
        <v>197</v>
      </c>
      <c r="J7" s="4" t="s">
        <v>215</v>
      </c>
    </row>
    <row r="8" customFormat="false" ht="15" hidden="false" customHeight="true" outlineLevel="0" collapsed="false">
      <c r="A8" s="4"/>
      <c r="B8" s="4" t="s">
        <v>216</v>
      </c>
      <c r="C8" s="4" t="s">
        <v>12</v>
      </c>
      <c r="D8" s="5" t="s">
        <v>13</v>
      </c>
      <c r="E8" s="4"/>
      <c r="F8" s="4"/>
      <c r="G8" s="4"/>
      <c r="H8" s="4"/>
      <c r="I8" s="4"/>
      <c r="J8" s="4" t="s">
        <v>217</v>
      </c>
    </row>
    <row r="9" customFormat="false" ht="23.25" hidden="false" customHeight="true" outlineLevel="0" collapsed="false">
      <c r="A9" s="4"/>
      <c r="B9" s="4" t="s">
        <v>218</v>
      </c>
      <c r="C9" s="4" t="s">
        <v>219</v>
      </c>
      <c r="D9" s="4" t="s">
        <v>25</v>
      </c>
      <c r="E9" s="4"/>
      <c r="F9" s="4"/>
      <c r="G9" s="4"/>
      <c r="H9" s="4"/>
      <c r="I9" s="4"/>
      <c r="J9" s="4" t="s">
        <v>220</v>
      </c>
    </row>
    <row r="10" customFormat="false" ht="23.25" hidden="false" customHeight="true" outlineLevel="0" collapsed="false">
      <c r="A10" s="13" t="s">
        <v>221</v>
      </c>
      <c r="B10" s="4" t="s">
        <v>222</v>
      </c>
      <c r="C10" s="4" t="s">
        <v>223</v>
      </c>
      <c r="D10" s="9" t="s">
        <v>43</v>
      </c>
      <c r="E10" s="7" t="s">
        <v>27</v>
      </c>
      <c r="F10" s="4" t="s">
        <v>28</v>
      </c>
      <c r="G10" s="4" t="s">
        <v>35</v>
      </c>
      <c r="H10" s="4" t="s">
        <v>204</v>
      </c>
      <c r="I10" s="4" t="s">
        <v>204</v>
      </c>
      <c r="J10" s="4" t="s">
        <v>224</v>
      </c>
    </row>
    <row r="11" customFormat="false" ht="23.25" hidden="false" customHeight="true" outlineLevel="0" collapsed="false">
      <c r="A11" s="4"/>
      <c r="B11" s="4" t="s">
        <v>225</v>
      </c>
      <c r="C11" s="4" t="s">
        <v>12</v>
      </c>
      <c r="D11" s="5" t="s">
        <v>165</v>
      </c>
      <c r="E11" s="4"/>
      <c r="F11" s="4"/>
      <c r="G11" s="4"/>
      <c r="H11" s="4"/>
      <c r="I11" s="4"/>
      <c r="J11" s="4" t="s">
        <v>226</v>
      </c>
    </row>
    <row r="12" customFormat="false" ht="23.25" hidden="false" customHeight="true" outlineLevel="0" collapsed="false">
      <c r="A12" s="4"/>
      <c r="B12" s="4" t="s">
        <v>227</v>
      </c>
      <c r="C12" s="4" t="s">
        <v>12</v>
      </c>
      <c r="D12" s="9" t="s">
        <v>43</v>
      </c>
      <c r="E12" s="8" t="s">
        <v>33</v>
      </c>
      <c r="F12" s="4" t="s">
        <v>28</v>
      </c>
      <c r="G12" s="4" t="s">
        <v>35</v>
      </c>
      <c r="H12" s="4" t="s">
        <v>197</v>
      </c>
      <c r="I12" s="4" t="s">
        <v>197</v>
      </c>
      <c r="J12" s="4" t="s">
        <v>228</v>
      </c>
    </row>
    <row r="13" customFormat="false" ht="23.25" hidden="false" customHeight="true" outlineLevel="0" collapsed="false">
      <c r="A13" s="4"/>
      <c r="B13" s="4" t="s">
        <v>229</v>
      </c>
      <c r="C13" s="4" t="s">
        <v>12</v>
      </c>
      <c r="D13" s="6" t="s">
        <v>50</v>
      </c>
      <c r="E13" s="7" t="s">
        <v>27</v>
      </c>
      <c r="F13" s="4" t="s">
        <v>28</v>
      </c>
      <c r="G13" s="4" t="s">
        <v>35</v>
      </c>
      <c r="H13" s="4" t="s">
        <v>204</v>
      </c>
      <c r="I13" s="4" t="s">
        <v>204</v>
      </c>
      <c r="J13" s="4" t="s">
        <v>230</v>
      </c>
    </row>
    <row r="14" customFormat="false" ht="23.25" hidden="false" customHeight="true" outlineLevel="0" collapsed="false">
      <c r="A14" s="13" t="s">
        <v>231</v>
      </c>
      <c r="B14" s="4" t="s">
        <v>232</v>
      </c>
      <c r="C14" s="4" t="s">
        <v>233</v>
      </c>
      <c r="D14" s="6" t="s">
        <v>234</v>
      </c>
      <c r="E14" s="10" t="s">
        <v>45</v>
      </c>
      <c r="F14" s="4" t="s">
        <v>111</v>
      </c>
      <c r="G14" s="4" t="s">
        <v>235</v>
      </c>
      <c r="H14" s="4" t="s">
        <v>197</v>
      </c>
      <c r="I14" s="4" t="s">
        <v>198</v>
      </c>
      <c r="J14" s="4" t="s">
        <v>236</v>
      </c>
    </row>
    <row r="15" customFormat="false" ht="23.25" hidden="false" customHeight="true" outlineLevel="0" collapsed="false">
      <c r="A15" s="4"/>
      <c r="B15" s="4" t="s">
        <v>237</v>
      </c>
      <c r="C15" s="4" t="s">
        <v>233</v>
      </c>
      <c r="D15" s="6" t="s">
        <v>234</v>
      </c>
      <c r="E15" s="10" t="s">
        <v>45</v>
      </c>
      <c r="F15" s="4" t="s">
        <v>111</v>
      </c>
      <c r="G15" s="4" t="s">
        <v>39</v>
      </c>
      <c r="H15" s="4" t="s">
        <v>197</v>
      </c>
      <c r="I15" s="4" t="s">
        <v>204</v>
      </c>
      <c r="J15" s="4" t="s">
        <v>238</v>
      </c>
    </row>
    <row r="16" customFormat="false" ht="23.25" hidden="false" customHeight="true" outlineLevel="0" collapsed="false">
      <c r="A16" s="4"/>
      <c r="B16" s="4" t="s">
        <v>239</v>
      </c>
      <c r="C16" s="4" t="s">
        <v>233</v>
      </c>
      <c r="D16" s="9" t="s">
        <v>43</v>
      </c>
      <c r="E16" s="10" t="s">
        <v>45</v>
      </c>
      <c r="F16" s="4" t="s">
        <v>111</v>
      </c>
      <c r="G16" s="4" t="s">
        <v>235</v>
      </c>
      <c r="H16" s="4" t="s">
        <v>208</v>
      </c>
      <c r="I16" s="4" t="s">
        <v>198</v>
      </c>
      <c r="J16" s="4" t="s">
        <v>240</v>
      </c>
    </row>
    <row r="17" customFormat="false" ht="23.25" hidden="false" customHeight="true" outlineLevel="0" collapsed="false">
      <c r="A17" s="13" t="s">
        <v>241</v>
      </c>
      <c r="B17" s="4" t="s">
        <v>242</v>
      </c>
      <c r="C17" s="4" t="s">
        <v>12</v>
      </c>
      <c r="D17" s="9" t="s">
        <v>43</v>
      </c>
      <c r="E17" s="7" t="s">
        <v>27</v>
      </c>
      <c r="F17" s="4" t="s">
        <v>28</v>
      </c>
      <c r="G17" s="4" t="s">
        <v>35</v>
      </c>
      <c r="H17" s="4" t="s">
        <v>197</v>
      </c>
      <c r="I17" s="4" t="s">
        <v>197</v>
      </c>
      <c r="J17" s="4" t="s">
        <v>243</v>
      </c>
    </row>
    <row r="18" customFormat="false" ht="15" hidden="false" customHeight="true" outlineLevel="0" collapsed="false">
      <c r="A18" s="4"/>
      <c r="B18" s="4" t="s">
        <v>244</v>
      </c>
      <c r="C18" s="4" t="s">
        <v>12</v>
      </c>
      <c r="D18" s="5" t="s">
        <v>13</v>
      </c>
      <c r="E18" s="4"/>
      <c r="F18" s="4"/>
      <c r="G18" s="4"/>
      <c r="H18" s="4"/>
      <c r="I18" s="4"/>
      <c r="J18" s="4" t="s">
        <v>245</v>
      </c>
    </row>
    <row r="19" customFormat="false" ht="15" hidden="false" customHeight="true" outlineLevel="0" collapsed="false">
      <c r="A19" s="4"/>
      <c r="B19" s="4" t="s">
        <v>246</v>
      </c>
      <c r="C19" s="4" t="s">
        <v>12</v>
      </c>
      <c r="D19" s="6" t="s">
        <v>50</v>
      </c>
      <c r="E19" s="8" t="s">
        <v>33</v>
      </c>
      <c r="F19" s="4" t="s">
        <v>28</v>
      </c>
      <c r="G19" s="4" t="s">
        <v>35</v>
      </c>
      <c r="H19" s="4" t="s">
        <v>197</v>
      </c>
      <c r="I19" s="4" t="s">
        <v>208</v>
      </c>
      <c r="J19" s="4" t="s">
        <v>247</v>
      </c>
    </row>
    <row r="20" customFormat="false" ht="23.25" hidden="false" customHeight="true" outlineLevel="0" collapsed="false">
      <c r="A20" s="13" t="s">
        <v>248</v>
      </c>
      <c r="B20" s="4" t="s">
        <v>249</v>
      </c>
      <c r="C20" s="4" t="s">
        <v>250</v>
      </c>
      <c r="D20" s="9" t="s">
        <v>43</v>
      </c>
      <c r="E20" s="7" t="s">
        <v>27</v>
      </c>
      <c r="F20" s="4" t="s">
        <v>28</v>
      </c>
      <c r="G20" s="4" t="s">
        <v>35</v>
      </c>
      <c r="H20" s="4" t="s">
        <v>197</v>
      </c>
      <c r="I20" s="4" t="s">
        <v>197</v>
      </c>
      <c r="J20" s="4" t="s">
        <v>251</v>
      </c>
    </row>
    <row r="21" customFormat="false" ht="15" hidden="false" customHeight="true" outlineLevel="0" collapsed="false">
      <c r="A21" s="4"/>
      <c r="B21" s="4" t="s">
        <v>252</v>
      </c>
      <c r="C21" s="4" t="s">
        <v>12</v>
      </c>
      <c r="D21" s="9" t="s">
        <v>201</v>
      </c>
      <c r="E21" s="8" t="s">
        <v>33</v>
      </c>
      <c r="F21" s="4" t="s">
        <v>34</v>
      </c>
      <c r="G21" s="4" t="s">
        <v>35</v>
      </c>
      <c r="H21" s="4" t="s">
        <v>204</v>
      </c>
      <c r="I21" s="4" t="s">
        <v>208</v>
      </c>
      <c r="J21" s="4" t="s">
        <v>253</v>
      </c>
    </row>
    <row r="22" customFormat="false" ht="15" hidden="false" customHeight="true" outlineLevel="0" collapsed="false">
      <c r="A22" s="4"/>
      <c r="B22" s="4" t="s">
        <v>254</v>
      </c>
      <c r="C22" s="4" t="s">
        <v>12</v>
      </c>
      <c r="D22" s="9" t="s">
        <v>201</v>
      </c>
      <c r="E22" s="8" t="s">
        <v>33</v>
      </c>
      <c r="F22" s="4" t="s">
        <v>34</v>
      </c>
      <c r="G22" s="4" t="s">
        <v>35</v>
      </c>
      <c r="H22" s="4" t="s">
        <v>197</v>
      </c>
      <c r="I22" s="4" t="s">
        <v>208</v>
      </c>
      <c r="J22" s="4" t="s">
        <v>255</v>
      </c>
    </row>
    <row r="23" customFormat="false" ht="23.25" hidden="false" customHeight="true" outlineLevel="0" collapsed="false">
      <c r="A23" s="13" t="s">
        <v>256</v>
      </c>
      <c r="B23" s="4" t="s">
        <v>257</v>
      </c>
      <c r="C23" s="4" t="s">
        <v>173</v>
      </c>
      <c r="D23" s="6" t="s">
        <v>214</v>
      </c>
      <c r="E23" s="8" t="s">
        <v>33</v>
      </c>
      <c r="F23" s="4" t="s">
        <v>34</v>
      </c>
      <c r="G23" s="4" t="s">
        <v>35</v>
      </c>
      <c r="H23" s="4" t="s">
        <v>197</v>
      </c>
      <c r="I23" s="4" t="s">
        <v>208</v>
      </c>
      <c r="J23" s="4" t="s">
        <v>258</v>
      </c>
    </row>
    <row r="24" customFormat="false" ht="15" hidden="false" customHeight="true" outlineLevel="0" collapsed="false">
      <c r="A24" s="4"/>
      <c r="B24" s="4" t="s">
        <v>259</v>
      </c>
      <c r="C24" s="4" t="s">
        <v>207</v>
      </c>
      <c r="D24" s="9" t="s">
        <v>201</v>
      </c>
      <c r="E24" s="8" t="s">
        <v>33</v>
      </c>
      <c r="F24" s="4" t="s">
        <v>66</v>
      </c>
      <c r="G24" s="4" t="s">
        <v>35</v>
      </c>
      <c r="H24" s="4" t="s">
        <v>204</v>
      </c>
      <c r="I24" s="4" t="s">
        <v>208</v>
      </c>
      <c r="J24" s="4" t="s">
        <v>260</v>
      </c>
    </row>
    <row r="25" customFormat="false" ht="23.25" hidden="false" customHeight="true" outlineLevel="0" collapsed="false">
      <c r="A25" s="13" t="s">
        <v>261</v>
      </c>
      <c r="B25" s="4" t="s">
        <v>262</v>
      </c>
      <c r="C25" s="4" t="s">
        <v>12</v>
      </c>
      <c r="D25" s="9" t="s">
        <v>43</v>
      </c>
      <c r="E25" s="8" t="s">
        <v>33</v>
      </c>
      <c r="F25" s="4" t="s">
        <v>34</v>
      </c>
      <c r="G25" s="4" t="s">
        <v>35</v>
      </c>
      <c r="H25" s="4" t="s">
        <v>197</v>
      </c>
      <c r="I25" s="4" t="s">
        <v>208</v>
      </c>
      <c r="J25" s="4" t="s">
        <v>263</v>
      </c>
    </row>
    <row r="26" customFormat="false" ht="23.25" hidden="false" customHeight="true" outlineLevel="0" collapsed="false">
      <c r="A26" s="4"/>
      <c r="B26" s="4" t="s">
        <v>264</v>
      </c>
      <c r="C26" s="4" t="s">
        <v>12</v>
      </c>
      <c r="D26" s="6" t="s">
        <v>50</v>
      </c>
      <c r="E26" s="8" t="s">
        <v>33</v>
      </c>
      <c r="F26" s="4" t="s">
        <v>34</v>
      </c>
      <c r="G26" s="4" t="s">
        <v>35</v>
      </c>
      <c r="H26" s="4" t="s">
        <v>208</v>
      </c>
      <c r="I26" s="4" t="s">
        <v>208</v>
      </c>
      <c r="J26" s="4" t="s">
        <v>265</v>
      </c>
    </row>
    <row r="27" customFormat="false" ht="23.25" hidden="false" customHeight="true" outlineLevel="0" collapsed="false">
      <c r="A27" s="4"/>
      <c r="B27" s="4" t="s">
        <v>266</v>
      </c>
      <c r="C27" s="4" t="s">
        <v>207</v>
      </c>
      <c r="D27" s="9" t="s">
        <v>201</v>
      </c>
      <c r="E27" s="8" t="s">
        <v>33</v>
      </c>
      <c r="F27" s="4" t="s">
        <v>66</v>
      </c>
      <c r="G27" s="4" t="s">
        <v>35</v>
      </c>
      <c r="H27" s="4" t="s">
        <v>204</v>
      </c>
      <c r="I27" s="4" t="s">
        <v>208</v>
      </c>
      <c r="J27" s="4" t="s">
        <v>267</v>
      </c>
    </row>
    <row r="28" customFormat="false" ht="15" hidden="false" customHeight="true" outlineLevel="0" collapsed="false">
      <c r="A28" s="13" t="s">
        <v>268</v>
      </c>
      <c r="B28" s="4" t="s">
        <v>269</v>
      </c>
      <c r="C28" s="4" t="s">
        <v>154</v>
      </c>
      <c r="D28" s="11" t="s">
        <v>155</v>
      </c>
      <c r="E28" s="4"/>
      <c r="F28" s="4"/>
      <c r="G28" s="4"/>
      <c r="H28" s="4"/>
      <c r="I28" s="4"/>
      <c r="J28" s="4" t="s">
        <v>270</v>
      </c>
    </row>
    <row r="29" customFormat="false" ht="23.25" hidden="false" customHeight="true" outlineLevel="0" collapsed="false">
      <c r="A29" s="13" t="s">
        <v>271</v>
      </c>
      <c r="B29" s="4" t="s">
        <v>272</v>
      </c>
      <c r="C29" s="4" t="s">
        <v>273</v>
      </c>
      <c r="D29" s="11" t="s">
        <v>155</v>
      </c>
      <c r="E29" s="4"/>
      <c r="F29" s="4"/>
      <c r="G29" s="4"/>
      <c r="H29" s="4"/>
      <c r="I29" s="4"/>
      <c r="J29" s="4" t="s">
        <v>274</v>
      </c>
    </row>
    <row r="30" customFormat="false" ht="23.25" hidden="false" customHeight="true" outlineLevel="0" collapsed="false">
      <c r="A30" s="4" t="s">
        <v>275</v>
      </c>
      <c r="B30" s="4" t="s">
        <v>276</v>
      </c>
      <c r="C30" s="4" t="s">
        <v>154</v>
      </c>
      <c r="D30" s="11" t="s">
        <v>155</v>
      </c>
      <c r="E30" s="4"/>
      <c r="F30" s="4"/>
      <c r="G30" s="4"/>
      <c r="H30" s="4"/>
      <c r="I30" s="4"/>
      <c r="J30" s="4" t="s">
        <v>277</v>
      </c>
    </row>
    <row r="31" customFormat="false" ht="23.25" hidden="false" customHeight="true" outlineLevel="0" collapsed="false">
      <c r="A31" s="13" t="s">
        <v>278</v>
      </c>
      <c r="B31" s="4" t="s">
        <v>279</v>
      </c>
      <c r="C31" s="4" t="s">
        <v>273</v>
      </c>
      <c r="D31" s="11" t="s">
        <v>155</v>
      </c>
      <c r="E31" s="4"/>
      <c r="F31" s="4"/>
      <c r="G31" s="4"/>
      <c r="H31" s="4"/>
      <c r="I31" s="4"/>
      <c r="J31" s="4" t="s">
        <v>280</v>
      </c>
    </row>
  </sheetData>
  <autoFilter ref="A1:J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0"/>
    <col collapsed="false" customWidth="true" hidden="false" outlineLevel="0" max="3" min="3" style="1" width="25"/>
    <col collapsed="false" customWidth="true" hidden="false" outlineLevel="0" max="4" min="4" style="1" width="22"/>
    <col collapsed="false" customWidth="true" hidden="false" outlineLevel="0" max="6" min="5" style="1" width="10"/>
  </cols>
  <sheetData>
    <row r="1" customFormat="false" ht="16.5" hidden="false" customHeight="true" outlineLevel="0" collapsed="false">
      <c r="A1" s="14" t="s">
        <v>281</v>
      </c>
      <c r="B1" s="14"/>
      <c r="C1" s="14"/>
      <c r="D1" s="14"/>
      <c r="E1" s="14"/>
      <c r="F1" s="14"/>
    </row>
    <row r="3" customFormat="false" ht="15" hidden="false" customHeight="true" outlineLevel="0" collapsed="false">
      <c r="A3" s="15" t="s">
        <v>282</v>
      </c>
      <c r="B3" s="15" t="s">
        <v>283</v>
      </c>
    </row>
    <row r="4" customFormat="false" ht="15" hidden="false" customHeight="true" outlineLevel="0" collapsed="false">
      <c r="A4" s="16" t="s">
        <v>284</v>
      </c>
      <c r="B4" s="16" t="n">
        <f aca="false">COUNTIF('Core Module Gap'!C2:C100,"ใช่*")+COUNTIF('Extended Module'!C2:C100,"ใช่*")</f>
        <v>73</v>
      </c>
    </row>
    <row r="5" customFormat="false" ht="15" hidden="false" customHeight="true" outlineLevel="0" collapsed="false">
      <c r="A5" s="17" t="s">
        <v>285</v>
      </c>
      <c r="B5" s="16" t="n">
        <f aca="false">COUNTIF('Core Module Gap'!D2:D100,"✅*")+COUNTIF('Extended Module'!D2:D100,"✅*")</f>
        <v>31</v>
      </c>
    </row>
    <row r="6" customFormat="false" ht="15" hidden="false" customHeight="true" outlineLevel="0" collapsed="false">
      <c r="A6" s="18" t="s">
        <v>286</v>
      </c>
      <c r="B6" s="16" t="n">
        <f aca="false">COUNTIF('Core Module Gap'!D2:D100,"⚠️*")+COUNTIF('Extended Module'!D2:D100,"⚠️*")</f>
        <v>23</v>
      </c>
    </row>
    <row r="7" customFormat="false" ht="15" hidden="false" customHeight="true" outlineLevel="0" collapsed="false">
      <c r="A7" s="19" t="s">
        <v>43</v>
      </c>
      <c r="B7" s="16" t="n">
        <f aca="false">COUNTIF('Core Module Gap'!D2:D100,"❌*")+COUNTIF('Extended Module'!D2:D100,"❌*")</f>
        <v>24</v>
      </c>
    </row>
    <row r="8" customFormat="false" ht="15" hidden="false" customHeight="true" outlineLevel="0" collapsed="false">
      <c r="A8" s="16" t="s">
        <v>287</v>
      </c>
      <c r="B8" s="16" t="n">
        <f aca="false">COUNTIF('Core Module Gap'!C2:C100,"ไม่เกี่ยว*")+COUNTIF('Extended Module'!C2:C100,"ไม่เกี่ยว*")+COUNTIF('Core Module Gap'!C2:C100,"ยังไม่*")+COUNTIF('Extended Module'!C2:C100,"ยังไม่*")</f>
        <v>7</v>
      </c>
    </row>
    <row r="11" customFormat="false" ht="15" hidden="false" customHeight="true" outlineLevel="0" collapsed="false">
      <c r="A11" s="20" t="s">
        <v>288</v>
      </c>
    </row>
    <row r="12" customFormat="false" ht="15" hidden="false" customHeight="true" outlineLevel="0" collapsed="false">
      <c r="A12" s="21" t="s">
        <v>289</v>
      </c>
      <c r="B12" s="21" t="s">
        <v>290</v>
      </c>
      <c r="C12" s="21" t="s">
        <v>291</v>
      </c>
      <c r="D12" s="21" t="s">
        <v>292</v>
      </c>
      <c r="E12" s="21" t="s">
        <v>293</v>
      </c>
      <c r="F12" s="21" t="s">
        <v>294</v>
      </c>
    </row>
    <row r="13" customFormat="false" ht="45.75" hidden="false" customHeight="true" outlineLevel="0" collapsed="false">
      <c r="A13" s="22" t="s">
        <v>295</v>
      </c>
      <c r="B13" s="4" t="s">
        <v>296</v>
      </c>
      <c r="C13" s="4" t="s">
        <v>297</v>
      </c>
      <c r="D13" s="4" t="s">
        <v>298</v>
      </c>
      <c r="E13" s="4" t="s">
        <v>111</v>
      </c>
      <c r="F13" s="4" t="s">
        <v>197</v>
      </c>
    </row>
    <row r="14" customFormat="false" ht="68.25" hidden="false" customHeight="true" outlineLevel="0" collapsed="false">
      <c r="A14" s="22" t="s">
        <v>299</v>
      </c>
      <c r="B14" s="4" t="s">
        <v>300</v>
      </c>
      <c r="C14" s="4" t="s">
        <v>301</v>
      </c>
      <c r="D14" s="4" t="s">
        <v>302</v>
      </c>
      <c r="E14" s="4" t="s">
        <v>111</v>
      </c>
      <c r="F14" s="4" t="s">
        <v>208</v>
      </c>
    </row>
    <row r="15" customFormat="false" ht="45.75" hidden="false" customHeight="true" outlineLevel="0" collapsed="false">
      <c r="A15" s="22" t="s">
        <v>303</v>
      </c>
      <c r="B15" s="4" t="s">
        <v>304</v>
      </c>
      <c r="C15" s="4" t="s">
        <v>305</v>
      </c>
      <c r="D15" s="4" t="s">
        <v>306</v>
      </c>
      <c r="E15" s="4" t="s">
        <v>28</v>
      </c>
      <c r="F15" s="4" t="s">
        <v>197</v>
      </c>
    </row>
    <row r="16" customFormat="false" ht="45.75" hidden="false" customHeight="true" outlineLevel="0" collapsed="false">
      <c r="A16" s="22" t="s">
        <v>307</v>
      </c>
      <c r="B16" s="4" t="s">
        <v>308</v>
      </c>
      <c r="C16" s="4" t="s">
        <v>309</v>
      </c>
      <c r="D16" s="4" t="s">
        <v>310</v>
      </c>
      <c r="E16" s="4" t="s">
        <v>28</v>
      </c>
      <c r="F16" s="4" t="s">
        <v>204</v>
      </c>
    </row>
    <row r="17" customFormat="false" ht="57" hidden="false" customHeight="true" outlineLevel="0" collapsed="false">
      <c r="A17" s="22" t="s">
        <v>311</v>
      </c>
      <c r="B17" s="4" t="s">
        <v>312</v>
      </c>
      <c r="C17" s="4" t="s">
        <v>313</v>
      </c>
      <c r="D17" s="4" t="s">
        <v>314</v>
      </c>
      <c r="E17" s="4" t="s">
        <v>28</v>
      </c>
      <c r="F17" s="4" t="s">
        <v>204</v>
      </c>
    </row>
    <row r="18" customFormat="false" ht="57" hidden="false" customHeight="true" outlineLevel="0" collapsed="false">
      <c r="A18" s="22" t="s">
        <v>315</v>
      </c>
      <c r="B18" s="4" t="s">
        <v>316</v>
      </c>
      <c r="C18" s="4" t="s">
        <v>317</v>
      </c>
      <c r="D18" s="4" t="s">
        <v>35</v>
      </c>
      <c r="E18" s="4" t="s">
        <v>111</v>
      </c>
      <c r="F18" s="4" t="s">
        <v>208</v>
      </c>
    </row>
    <row r="20" customFormat="false" ht="15" hidden="false" customHeight="true" outlineLevel="0" collapsed="false">
      <c r="A20" s="23" t="s">
        <v>318</v>
      </c>
    </row>
    <row r="21" customFormat="false" ht="15" hidden="false" customHeight="true" outlineLevel="0" collapsed="false">
      <c r="A21" s="24" t="s">
        <v>319</v>
      </c>
      <c r="B21" s="25" t="s">
        <v>320</v>
      </c>
      <c r="C21" s="26" t="s">
        <v>321</v>
      </c>
      <c r="D21" s="26" t="s">
        <v>322</v>
      </c>
    </row>
    <row r="22" customFormat="false" ht="15" hidden="false" customHeight="true" outlineLevel="0" collapsed="false">
      <c r="A22" s="27" t="s">
        <v>323</v>
      </c>
      <c r="B22" s="28" t="n">
        <v>17</v>
      </c>
      <c r="C22" s="29" t="n">
        <v>2500</v>
      </c>
      <c r="D22" s="29" t="n">
        <f aca="false">B22*C22</f>
        <v>42500</v>
      </c>
    </row>
    <row r="23" customFormat="false" ht="15" hidden="false" customHeight="true" outlineLevel="0" collapsed="false">
      <c r="A23" s="27" t="s">
        <v>324</v>
      </c>
      <c r="B23" s="28" t="n">
        <v>14</v>
      </c>
      <c r="C23" s="29" t="n">
        <v>2500</v>
      </c>
      <c r="D23" s="29" t="n">
        <f aca="false">B23*C23</f>
        <v>35000</v>
      </c>
    </row>
    <row r="24" customFormat="false" ht="15" hidden="false" customHeight="true" outlineLevel="0" collapsed="false">
      <c r="A24" s="27" t="s">
        <v>325</v>
      </c>
      <c r="B24" s="28" t="n">
        <v>6</v>
      </c>
      <c r="C24" s="29" t="n">
        <v>2500</v>
      </c>
      <c r="D24" s="29" t="n">
        <f aca="false">B24*C24</f>
        <v>15000</v>
      </c>
    </row>
    <row r="25" customFormat="false" ht="15" hidden="false" customHeight="true" outlineLevel="0" collapsed="false">
      <c r="A25" s="30" t="s">
        <v>326</v>
      </c>
      <c r="B25" s="31"/>
      <c r="C25" s="32"/>
      <c r="D25" s="32" t="n">
        <f aca="false">SUM(D22:D24)</f>
        <v>92500</v>
      </c>
    </row>
    <row r="26" customFormat="false" ht="15" hidden="false" customHeight="true" outlineLevel="0" collapsed="false">
      <c r="A26" s="30" t="s">
        <v>327</v>
      </c>
      <c r="B26" s="31"/>
      <c r="C26" s="32"/>
      <c r="D26" s="32" t="n">
        <f aca="false">D25*12</f>
        <v>1110000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2026-04-12T00:37:10Z</dcterms:created>
  <dc:creator>openpyxl</dc:creator>
  <dc:description/>
  <dc:language>en-US</dc:language>
  <cp:lastModifiedBy/>
  <dcterms:modified xsi:type="dcterms:W3CDTF">2026-04-12T00:37:25Z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