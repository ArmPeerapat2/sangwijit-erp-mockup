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oadmap" sheetId="1" state="visible" r:id="rId3"/>
    <sheet name="Phase Summary" sheetId="2" state="visible" r:id="rId4"/>
    <sheet name="Priority Matrix" sheetId="3" state="visible" r:id="rId5"/>
  </sheets>
  <definedNames>
    <definedName function="false" hidden="true" localSheetId="0" name="_xlnm._FilterDatabase" vbProcedure="false">Roadmap!$A$4:$J$75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<sst xmlns="http://schemas.openxmlformats.org/spreadsheetml/2006/main" count="639" uniqueCount="279">
  <si>
    <t xml:space="preserve">Sangwijit ERP Web Portal — Development Roadmap v3.0</t>
  </si>
  <si>
    <t xml:space="preserve">อัปเดต: 12 เมษายน 2569 | เจ้าของ: พีรพัฒน์ (GM) | 91 โมดูล | 8 กลุ่ม</t>
  </si>
  <si>
    <t xml:space="preserve">Module Code</t>
  </si>
  <si>
    <t xml:space="preserve">ชื่อโมดูล</t>
  </si>
  <si>
    <t xml:space="preserve">กลุ่ม</t>
  </si>
  <si>
    <t xml:space="preserve">Phase</t>
  </si>
  <si>
    <t xml:space="preserve">Priority</t>
  </si>
  <si>
    <t xml:space="preserve">Man-days</t>
  </si>
  <si>
    <t xml:space="preserve">Dependencies</t>
  </si>
  <si>
    <t xml:space="preserve">SC ที่ใช้</t>
  </si>
  <si>
    <t xml:space="preserve">BC API</t>
  </si>
  <si>
    <t xml:space="preserve">หมายเหตุ</t>
  </si>
  <si>
    <t xml:space="preserve">SL-Q</t>
  </si>
  <si>
    <t xml:space="preserve">Sales Queue Dashboard</t>
  </si>
  <si>
    <t xml:space="preserve">ขายและ CRM</t>
  </si>
  <si>
    <t xml:space="preserve">P1</t>
  </si>
  <si>
    <t xml:space="preserve">Critical</t>
  </si>
  <si>
    <t xml:space="preserve">—</t>
  </si>
  <si>
    <t xml:space="preserve">SC7</t>
  </si>
  <si>
    <t xml:space="preserve">salesOrders</t>
  </si>
  <si>
    <t xml:space="preserve">SL-1</t>
  </si>
  <si>
    <t xml:space="preserve">Quotation (ใบเสนอราคา)</t>
  </si>
  <si>
    <t xml:space="preserve">SC1,SC2,SC9</t>
  </si>
  <si>
    <t xml:space="preserve">salesQuotes</t>
  </si>
  <si>
    <t xml:space="preserve">SL-2</t>
  </si>
  <si>
    <t xml:space="preserve">Reservation (ใบจอง)</t>
  </si>
  <si>
    <t xml:space="preserve">SC1,SC2,SC3,SC6</t>
  </si>
  <si>
    <t xml:space="preserve">SL-3</t>
  </si>
  <si>
    <t xml:space="preserve">Deposit (ใบมัดจำ)</t>
  </si>
  <si>
    <t xml:space="preserve">SC1,SC3,SC6</t>
  </si>
  <si>
    <t xml:space="preserve">SL-4</t>
  </si>
  <si>
    <t xml:space="preserve">Invoice (บิลขาย 5 ส่วน)</t>
  </si>
  <si>
    <t xml:space="preserve">SL-1~3,SC9</t>
  </si>
  <si>
    <t xml:space="preserve">SC1-SC9</t>
  </si>
  <si>
    <t xml:space="preserve">salesOrders/post</t>
  </si>
  <si>
    <t xml:space="preserve">Flow ซับซ้อนสุด</t>
  </si>
  <si>
    <t xml:space="preserve">SL-5</t>
  </si>
  <si>
    <t xml:space="preserve">Credit Memo (ใบลดหนี้)</t>
  </si>
  <si>
    <t xml:space="preserve">High</t>
  </si>
  <si>
    <t xml:space="preserve">SC1,SC2</t>
  </si>
  <si>
    <t xml:space="preserve">salesCreditMemos</t>
  </si>
  <si>
    <t xml:space="preserve">SL-F1</t>
  </si>
  <si>
    <t xml:space="preserve">Credit Approval (อนุมัติวงเงิน)</t>
  </si>
  <si>
    <t xml:space="preserve">CF-7</t>
  </si>
  <si>
    <t xml:space="preserve">SC1</t>
  </si>
  <si>
    <t xml:space="preserve">approvals</t>
  </si>
  <si>
    <t xml:space="preserve">PM-1</t>
  </si>
  <si>
    <t xml:space="preserve">Price List (ราคาขาย)</t>
  </si>
  <si>
    <t xml:space="preserve">MD-1</t>
  </si>
  <si>
    <t xml:space="preserve">priceLists</t>
  </si>
  <si>
    <t xml:space="preserve">PM-2</t>
  </si>
  <si>
    <t xml:space="preserve">Promotion Scheme</t>
  </si>
  <si>
    <t xml:space="preserve">SC9</t>
  </si>
  <si>
    <t xml:space="preserve">Custom</t>
  </si>
  <si>
    <t xml:space="preserve">B1 Priority Rule</t>
  </si>
  <si>
    <t xml:space="preserve">PM-5</t>
  </si>
  <si>
    <t xml:space="preserve">Price Simulator</t>
  </si>
  <si>
    <t xml:space="preserve">Medium</t>
  </si>
  <si>
    <t xml:space="preserve">PM-1,PM-2</t>
  </si>
  <si>
    <t xml:space="preserve">PO-Q</t>
  </si>
  <si>
    <t xml:space="preserve">Purchase Queue Dashboard</t>
  </si>
  <si>
    <t xml:space="preserve">จัดซื้อ</t>
  </si>
  <si>
    <t xml:space="preserve">purchaseOrders</t>
  </si>
  <si>
    <t xml:space="preserve">PO-1</t>
  </si>
  <si>
    <t xml:space="preserve">PR (ใบขอซื้อ)</t>
  </si>
  <si>
    <t xml:space="preserve">SC2,SC10</t>
  </si>
  <si>
    <t xml:space="preserve">purchaseRequisitions</t>
  </si>
  <si>
    <t xml:space="preserve">PO-2</t>
  </si>
  <si>
    <t xml:space="preserve">RFQ/Compare</t>
  </si>
  <si>
    <t xml:space="preserve">SC10</t>
  </si>
  <si>
    <t xml:space="preserve">PO-3</t>
  </si>
  <si>
    <t xml:space="preserve">Vendor Onboarding</t>
  </si>
  <si>
    <t xml:space="preserve">vendors</t>
  </si>
  <si>
    <t xml:space="preserve">PO-4</t>
  </si>
  <si>
    <t xml:space="preserve">PO (ใบสั่งซื้อ)</t>
  </si>
  <si>
    <t xml:space="preserve">PO-1,CF-7</t>
  </si>
  <si>
    <t xml:space="preserve">SC2,SC10,SC5</t>
  </si>
  <si>
    <t xml:space="preserve">PO-5</t>
  </si>
  <si>
    <t xml:space="preserve">GRN (ใบรับสินค้า)</t>
  </si>
  <si>
    <t xml:space="preserve">SC2,SC5,SC8</t>
  </si>
  <si>
    <t xml:space="preserve">purchaseReceipts</t>
  </si>
  <si>
    <t xml:space="preserve">PO-6</t>
  </si>
  <si>
    <t xml:space="preserve">AP Invoice (ตั้งหนี้)</t>
  </si>
  <si>
    <t xml:space="preserve">SC10,SC5</t>
  </si>
  <si>
    <t xml:space="preserve">purchaseInvoices</t>
  </si>
  <si>
    <t xml:space="preserve">+Entity Tag</t>
  </si>
  <si>
    <t xml:space="preserve">PO-7</t>
  </si>
  <si>
    <t xml:space="preserve">Sale-In Accrual</t>
  </si>
  <si>
    <t xml:space="preserve">generalJournals</t>
  </si>
  <si>
    <t xml:space="preserve">NEW</t>
  </si>
  <si>
    <t xml:space="preserve">PO-8</t>
  </si>
  <si>
    <t xml:space="preserve">Deposit Bill (บิลฝาก)</t>
  </si>
  <si>
    <t xml:space="preserve">PO-4,FI-2</t>
  </si>
  <si>
    <t xml:space="preserve">SC10,SC3,SC5</t>
  </si>
  <si>
    <t xml:space="preserve">vendorPayments</t>
  </si>
  <si>
    <t xml:space="preserve">NEW — 2 Scenario</t>
  </si>
  <si>
    <t xml:space="preserve">WH-Q</t>
  </si>
  <si>
    <t xml:space="preserve">Warehouse Queue (SLA)</t>
  </si>
  <si>
    <t xml:space="preserve">คลังสินค้า</t>
  </si>
  <si>
    <t xml:space="preserve">locations</t>
  </si>
  <si>
    <t xml:space="preserve">WH-1</t>
  </si>
  <si>
    <t xml:space="preserve">GRN + Transfer Receipt</t>
  </si>
  <si>
    <t xml:space="preserve">SC2,SC8</t>
  </si>
  <si>
    <t xml:space="preserve">WH-2</t>
  </si>
  <si>
    <t xml:space="preserve">Stock Transfer</t>
  </si>
  <si>
    <t xml:space="preserve">itemTransferOrders</t>
  </si>
  <si>
    <t xml:space="preserve">WH-3</t>
  </si>
  <si>
    <t xml:space="preserve">Sales Issue (เบิกสินค้า)</t>
  </si>
  <si>
    <t xml:space="preserve">salesShipments</t>
  </si>
  <si>
    <t xml:space="preserve">WH-4</t>
  </si>
  <si>
    <t xml:space="preserve">Stock Count (นับสต็อก)</t>
  </si>
  <si>
    <t xml:space="preserve">inventoryAdjust</t>
  </si>
  <si>
    <t xml:space="preserve">WH-R</t>
  </si>
  <si>
    <t xml:space="preserve">Stock Card (รายงาน)</t>
  </si>
  <si>
    <t xml:space="preserve">SC2</t>
  </si>
  <si>
    <t xml:space="preserve">items/stock</t>
  </si>
  <si>
    <t xml:space="preserve">WH-NM</t>
  </si>
  <si>
    <t xml:space="preserve">Non-Move Report</t>
  </si>
  <si>
    <t xml:space="preserve">FI-Q</t>
  </si>
  <si>
    <t xml:space="preserve">Finance Dashboard</t>
  </si>
  <si>
    <t xml:space="preserve">การเงิน</t>
  </si>
  <si>
    <t xml:space="preserve">generalLedger</t>
  </si>
  <si>
    <t xml:space="preserve">FI-1</t>
  </si>
  <si>
    <t xml:space="preserve">AR Receipt (รับเงินลูกหนี้)</t>
  </si>
  <si>
    <t xml:space="preserve">SC1,SC3</t>
  </si>
  <si>
    <t xml:space="preserve">cashReceiptJournals</t>
  </si>
  <si>
    <t xml:space="preserve">FI-2</t>
  </si>
  <si>
    <t xml:space="preserve">AP Payment (จ่ายเจ้าหนี้)</t>
  </si>
  <si>
    <t xml:space="preserve">SC10,SC3</t>
  </si>
  <si>
    <t xml:space="preserve">+WHT auto</t>
  </si>
  <si>
    <t xml:space="preserve">FI-3</t>
  </si>
  <si>
    <t xml:space="preserve">Bank Reconciliation</t>
  </si>
  <si>
    <t xml:space="preserve">bankAccounts/recon</t>
  </si>
  <si>
    <t xml:space="preserve">FI-4</t>
  </si>
  <si>
    <t xml:space="preserve">Journal Voucher</t>
  </si>
  <si>
    <t xml:space="preserve">FI-9</t>
  </si>
  <si>
    <t xml:space="preserve">Fixed Asset Create &amp; Depreciation</t>
  </si>
  <si>
    <t xml:space="preserve">fixedAssets</t>
  </si>
  <si>
    <t xml:space="preserve">NEW — Batch Run</t>
  </si>
  <si>
    <t xml:space="preserve">FI-10</t>
  </si>
  <si>
    <t xml:space="preserve">FA Disposal by Sale</t>
  </si>
  <si>
    <t xml:space="preserve">salesOrders(FA)</t>
  </si>
  <si>
    <t xml:space="preserve">FI-11</t>
  </si>
  <si>
    <t xml:space="preserve">FA Write-Off</t>
  </si>
  <si>
    <t xml:space="preserve">FI-12</t>
  </si>
  <si>
    <t xml:space="preserve">WHT (ภ.ง.ด.3/53)</t>
  </si>
  <si>
    <t xml:space="preserve">whtEntries</t>
  </si>
  <si>
    <t xml:space="preserve">NEW — Auto from FI-2</t>
  </si>
  <si>
    <t xml:space="preserve">FI-13</t>
  </si>
  <si>
    <t xml:space="preserve">Dual-Book (บัญชี 2 เล่ม)</t>
  </si>
  <si>
    <t xml:space="preserve">CF-9,PO-6,SL-4</t>
  </si>
  <si>
    <t xml:space="preserve">NEW — Entity Tag System</t>
  </si>
  <si>
    <t xml:space="preserve">Item Master</t>
  </si>
  <si>
    <t xml:space="preserve">บริหาร</t>
  </si>
  <si>
    <t xml:space="preserve">items</t>
  </si>
  <si>
    <t xml:space="preserve">MD-2</t>
  </si>
  <si>
    <t xml:space="preserve">Customer Master</t>
  </si>
  <si>
    <t xml:space="preserve">customers</t>
  </si>
  <si>
    <t xml:space="preserve">MD-3</t>
  </si>
  <si>
    <t xml:space="preserve">Vendor Master</t>
  </si>
  <si>
    <t xml:space="preserve">MD-4</t>
  </si>
  <si>
    <t xml:space="preserve">Employee Master</t>
  </si>
  <si>
    <t xml:space="preserve">employees</t>
  </si>
  <si>
    <t xml:space="preserve">MD-5</t>
  </si>
  <si>
    <t xml:space="preserve">Branch &amp; Warehouse</t>
  </si>
  <si>
    <t xml:space="preserve">CF-1</t>
  </si>
  <si>
    <t xml:space="preserve">Tax Setup</t>
  </si>
  <si>
    <t xml:space="preserve">taxSetup</t>
  </si>
  <si>
    <t xml:space="preserve">CF-2</t>
  </si>
  <si>
    <t xml:space="preserve">Number Series</t>
  </si>
  <si>
    <t xml:space="preserve">numberSeries</t>
  </si>
  <si>
    <t xml:space="preserve">CF-3</t>
  </si>
  <si>
    <t xml:space="preserve">RBAC (9 roles)</t>
  </si>
  <si>
    <t xml:space="preserve">users/roles</t>
  </si>
  <si>
    <t xml:space="preserve">CF-4</t>
  </si>
  <si>
    <t xml:space="preserve">Posting Groups</t>
  </si>
  <si>
    <t xml:space="preserve">postingGroups</t>
  </si>
  <si>
    <t xml:space="preserve">CF-5</t>
  </si>
  <si>
    <t xml:space="preserve">Bin Policy</t>
  </si>
  <si>
    <t xml:space="preserve">binPolicies</t>
  </si>
  <si>
    <t xml:space="preserve">CF-6</t>
  </si>
  <si>
    <t xml:space="preserve">Technician Template</t>
  </si>
  <si>
    <t xml:space="preserve">techTemplates</t>
  </si>
  <si>
    <t xml:space="preserve">Approval Matrix</t>
  </si>
  <si>
    <t xml:space="preserve">approvalMatrix</t>
  </si>
  <si>
    <t xml:space="preserve">CF-8</t>
  </si>
  <si>
    <t xml:space="preserve">Document Template</t>
  </si>
  <si>
    <t xml:space="preserve">emailTemplates</t>
  </si>
  <si>
    <t xml:space="preserve">CF-9</t>
  </si>
  <si>
    <t xml:space="preserve">Entity Tag (บัญชี 2 เล่ม)</t>
  </si>
  <si>
    <t xml:space="preserve">entityTags</t>
  </si>
  <si>
    <t xml:space="preserve">NEW — FI-13 ต้องใช้</t>
  </si>
  <si>
    <t xml:space="preserve">PM-3</t>
  </si>
  <si>
    <t xml:space="preserve">Step Discount/Bundle</t>
  </si>
  <si>
    <t xml:space="preserve">P2</t>
  </si>
  <si>
    <t xml:space="preserve">PM-4</t>
  </si>
  <si>
    <t xml:space="preserve">Quota</t>
  </si>
  <si>
    <t xml:space="preserve">SV-Q</t>
  </si>
  <si>
    <t xml:space="preserve">Service Queue</t>
  </si>
  <si>
    <t xml:space="preserve">บริการ</t>
  </si>
  <si>
    <t xml:space="preserve">serviceOrders</t>
  </si>
  <si>
    <t xml:space="preserve">SV-1</t>
  </si>
  <si>
    <t xml:space="preserve">Service Intake</t>
  </si>
  <si>
    <t xml:space="preserve">SC1,SC8</t>
  </si>
  <si>
    <t xml:space="preserve">SV-2</t>
  </si>
  <si>
    <t xml:space="preserve">Job Card</t>
  </si>
  <si>
    <t xml:space="preserve">SV-3</t>
  </si>
  <si>
    <t xml:space="preserve">Parts Requisition</t>
  </si>
  <si>
    <t xml:space="preserve">SV-4</t>
  </si>
  <si>
    <t xml:space="preserve">QA Close</t>
  </si>
  <si>
    <t xml:space="preserve">SV-5</t>
  </si>
  <si>
    <t xml:space="preserve">Delivery &amp; Installation</t>
  </si>
  <si>
    <t xml:space="preserve">SC4</t>
  </si>
  <si>
    <t xml:space="preserve">CL-1</t>
  </si>
  <si>
    <t xml:space="preserve">Claim Intake</t>
  </si>
  <si>
    <t xml:space="preserve">CL-2</t>
  </si>
  <si>
    <t xml:space="preserve">Claim Tracking</t>
  </si>
  <si>
    <t xml:space="preserve">CL-3</t>
  </si>
  <si>
    <t xml:space="preserve">Claim Credit Note</t>
  </si>
  <si>
    <t xml:space="preserve">purchaseCreditMemos</t>
  </si>
  <si>
    <t xml:space="preserve">FI-5</t>
  </si>
  <si>
    <t xml:space="preserve">Expense Voucher</t>
  </si>
  <si>
    <t xml:space="preserve">SC3</t>
  </si>
  <si>
    <t xml:space="preserve">FI-6</t>
  </si>
  <si>
    <t xml:space="preserve">Credit Control</t>
  </si>
  <si>
    <t xml:space="preserve">customerLedger</t>
  </si>
  <si>
    <t xml:space="preserve">FI-8</t>
  </si>
  <si>
    <t xml:space="preserve">Accrual Monitor</t>
  </si>
  <si>
    <t xml:space="preserve">IA-Q</t>
  </si>
  <si>
    <t xml:space="preserve">API Dashboard</t>
  </si>
  <si>
    <t xml:space="preserve">Integration</t>
  </si>
  <si>
    <t xml:space="preserve">IA-1</t>
  </si>
  <si>
    <t xml:space="preserve">BC Sync Monitor</t>
  </si>
  <si>
    <t xml:space="preserve">IA-2</t>
  </si>
  <si>
    <t xml:space="preserve">Error Log &amp; Retry</t>
  </si>
  <si>
    <t xml:space="preserve">IA-3</t>
  </si>
  <si>
    <t xml:space="preserve">Webhook Config</t>
  </si>
  <si>
    <t xml:space="preserve">FI-7</t>
  </si>
  <si>
    <t xml:space="preserve">Period Close</t>
  </si>
  <si>
    <t xml:space="preserve">P3</t>
  </si>
  <si>
    <t xml:space="preserve">FI-1~4</t>
  </si>
  <si>
    <t xml:space="preserve">accountingPeriods</t>
  </si>
  <si>
    <t xml:space="preserve">IA-4</t>
  </si>
  <si>
    <t xml:space="preserve">Marketplace Connector</t>
  </si>
  <si>
    <t xml:space="preserve">IA-5</t>
  </si>
  <si>
    <t xml:space="preserve">BC Entity Explorer</t>
  </si>
  <si>
    <t xml:space="preserve">Low</t>
  </si>
  <si>
    <t xml:space="preserve">TOTAL MAN-DAYS</t>
  </si>
  <si>
    <t xml:space="preserve">Phase Summary — Man-day &amp; Timeline Estimate</t>
  </si>
  <si>
    <t xml:space="preserve">โมดูล (จำนวน)</t>
  </si>
  <si>
    <t xml:space="preserve">Man-days รวม</t>
  </si>
  <si>
    <t xml:space="preserve">ระยะเวลา (เดือน)</t>
  </si>
  <si>
    <t xml:space="preserve">เงื่อนไข Go-Live</t>
  </si>
  <si>
    <t xml:space="preserve">Key Deliverables</t>
  </si>
  <si>
    <t xml:space="preserve">50 modules</t>
  </si>
  <si>
    <t xml:space="preserve">4-5 เดือน</t>
  </si>
  <si>
    <t xml:space="preserve">Master Data พร้อม + BC Sandbox ผ่าน</t>
  </si>
  <si>
    <t xml:space="preserve">SC1-SC10, Sales SO/Invoice(5ส่วน), WH GRN/Issue, PO/GRN/AP(+PO-8), AR/AP, FA(FI-9~11), WHT(FI-12), Dual-Book(FI-13), Entity Tag(CF-9)</t>
  </si>
  <si>
    <t xml:space="preserve">19 modules</t>
  </si>
  <si>
    <t xml:space="preserve">3-4 เดือน</t>
  </si>
  <si>
    <t xml:space="preserve">Phase 1 UAT ผ่าน</t>
  </si>
  <si>
    <t xml:space="preserve">Service Queue/JobCard, Delivery+Installation, Claims, Expense Voucher, Credit Control, Accrual Monitor, API Monitor</t>
  </si>
  <si>
    <t xml:space="preserve">3+ modules</t>
  </si>
  <si>
    <t xml:space="preserve">2-3 เดือน</t>
  </si>
  <si>
    <t xml:space="preserve">Phase 2 Stable</t>
  </si>
  <si>
    <t xml:space="preserve">Period Close, Marketplace Connector, BC Entity Explorer, Tax Report Full</t>
  </si>
  <si>
    <t xml:space="preserve">P4</t>
  </si>
  <si>
    <t xml:space="preserve">Phase 3 Stable</t>
  </si>
  <si>
    <t xml:space="preserve">Trade-in, Promo Simulator, Advanced SLA, Mobile App Group B, BI/KPI, PDPA</t>
  </si>
  <si>
    <t xml:space="preserve">TOTAL</t>
  </si>
  <si>
    <t xml:space="preserve">📝 หมายเหตุ: Man-day = 1 คน 1 วัน (8 ชม.) | ยังไม่รวม QA/UAT/Deploy | ราคาขึ้นอยู่กับทีมพัฒนา</t>
  </si>
  <si>
    <t xml:space="preserve">📝 Module ใหม่จาก Gap Resolution: PO-8, FI-9, FI-10, FI-11, FI-12, FI-13, CF-9 = 7 โมดูล (+52 man-days โดยประมาณ)</t>
  </si>
  <si>
    <t xml:space="preserve">Priority Matrix — โมดูลแยกตาม Priority</t>
  </si>
  <si>
    <t xml:space="preserve">จำนวนโมดูล</t>
  </si>
  <si>
    <t xml:space="preserve">คำอธิบาย</t>
  </si>
  <si>
    <t xml:space="preserve">ต้องทำก่อน — ระบบหลักที่ขาดไม่ได้</t>
  </si>
  <si>
    <t xml:space="preserve">สำคัญมาก — ทำหลัง Critical เสร็จ</t>
  </si>
  <si>
    <t xml:space="preserve">สำคัญปานกลาง — ทำเมื่อ High เสร็จ</t>
  </si>
  <si>
    <t xml:space="preserve">Nice-to-have — Phase ถัดไป</t>
  </si>
</sst>
</file>

<file path=xl/styles.xml><?xml version="1.0" encoding="utf-8"?>
<styleSheet xmlns="http://schemas.openxmlformats.org/spreadsheetml/2006/main">
  <numFmts count="1">
    <numFmt numFmtId="164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A365D"/>
      <name val="Arial"/>
      <family val="0"/>
      <charset val="1"/>
    </font>
    <font>
      <sz val="9"/>
      <color rgb="FF71809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DC2626"/>
      <name val="Arial"/>
      <family val="0"/>
      <charset val="1"/>
    </font>
    <font>
      <b val="true"/>
      <sz val="10"/>
      <color rgb="FFD97706"/>
      <name val="Arial"/>
      <family val="0"/>
      <charset val="1"/>
    </font>
    <font>
      <sz val="10"/>
      <color rgb="FF2563EB"/>
      <name val="Arial"/>
      <family val="0"/>
      <charset val="1"/>
    </font>
    <font>
      <b val="true"/>
      <sz val="10"/>
      <color rgb="FF22863A"/>
      <name val="Arial"/>
      <family val="0"/>
      <charset val="1"/>
    </font>
    <font>
      <sz val="10"/>
      <color rgb="FF6B728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9"/>
      <color rgb="FF22863A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1A365D"/>
        <bgColor rgb="FF333333"/>
      </patternFill>
    </fill>
    <fill>
      <patternFill patternType="solid">
        <fgColor rgb="FFFFFFFF"/>
        <bgColor rgb="FFF3F4F6"/>
      </patternFill>
    </fill>
    <fill>
      <patternFill patternType="solid">
        <fgColor rgb="FFD4F4DD"/>
        <bgColor rgb="FFC6F6D5"/>
      </patternFill>
    </fill>
    <fill>
      <patternFill patternType="solid">
        <fgColor rgb="FFC6F6D5"/>
        <bgColor rgb="FFD4F4DD"/>
      </patternFill>
    </fill>
    <fill>
      <patternFill patternType="solid">
        <fgColor rgb="FFFFF3CD"/>
        <bgColor rgb="FFFEF3C7"/>
      </patternFill>
    </fill>
    <fill>
      <patternFill patternType="solid">
        <fgColor rgb="FFE2E8F0"/>
        <bgColor rgb="FFDBEAFE"/>
      </patternFill>
    </fill>
    <fill>
      <patternFill patternType="solid">
        <fgColor rgb="FF2B6CB0"/>
        <bgColor rgb="FF2563EB"/>
      </patternFill>
    </fill>
    <fill>
      <patternFill patternType="solid">
        <fgColor rgb="FFFCE4EC"/>
        <bgColor rgb="FFFEE2E2"/>
      </patternFill>
    </fill>
    <fill>
      <patternFill patternType="solid">
        <fgColor rgb="FFFEE2E2"/>
        <bgColor rgb="FFFCE4EC"/>
      </patternFill>
    </fill>
    <fill>
      <patternFill patternType="solid">
        <fgColor rgb="FFFEF3C7"/>
        <bgColor rgb="FFFFF3CD"/>
      </patternFill>
    </fill>
    <fill>
      <patternFill patternType="solid">
        <fgColor rgb="FFDBEAFE"/>
        <bgColor rgb="FFE2E8F0"/>
      </patternFill>
    </fill>
    <fill>
      <patternFill patternType="solid">
        <fgColor rgb="FFF3F4F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8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1A365D"/>
          <bgColor rgb="FF000000"/>
        </patternFill>
      </fill>
    </dxf>
    <dxf>
      <fill>
        <patternFill patternType="solid">
          <fgColor rgb="FFC6F6D5"/>
          <bgColor rgb="FF000000"/>
        </patternFill>
      </fill>
    </dxf>
    <dxf>
      <fill>
        <patternFill patternType="solid">
          <fgColor rgb="FFD4F4DD"/>
          <bgColor rgb="FF000000"/>
        </patternFill>
      </fill>
    </dxf>
    <dxf>
      <fill>
        <patternFill patternType="solid">
          <fgColor rgb="FFE2E8F0"/>
          <bgColor rgb="FF000000"/>
        </patternFill>
      </fill>
    </dxf>
    <dxf>
      <fill>
        <patternFill patternType="solid">
          <fgColor rgb="FFFFF3CD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22863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2563EB"/>
          <bgColor rgb="FF000000"/>
        </patternFill>
      </fill>
    </dxf>
    <dxf>
      <fill>
        <patternFill patternType="solid">
          <fgColor rgb="FF6B7280"/>
          <bgColor rgb="FF000000"/>
        </patternFill>
      </fill>
    </dxf>
    <dxf>
      <fill>
        <patternFill patternType="solid">
          <fgColor rgb="FFD97706"/>
          <bgColor rgb="FF000000"/>
        </patternFill>
      </fill>
    </dxf>
    <dxf>
      <fill>
        <patternFill patternType="solid">
          <fgColor rgb="FFDC2626"/>
          <bgColor rgb="FF000000"/>
        </patternFill>
      </fill>
    </dxf>
  </dxf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2E8F0"/>
      <rgbColor rgb="FF718096"/>
      <rgbColor rgb="FF9999FF"/>
      <rgbColor rgb="FF993366"/>
      <rgbColor rgb="FFFFF3CD"/>
      <rgbColor rgb="FFD4F4DD"/>
      <rgbColor rgb="FF660066"/>
      <rgbColor rgb="FFFF8080"/>
      <rgbColor rgb="FF2B6CB0"/>
      <rgbColor rgb="FFCBD5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BEAFE"/>
      <rgbColor rgb="FFC6F6D5"/>
      <rgbColor rgb="FFFEF3C7"/>
      <rgbColor rgb="FFFCE4EC"/>
      <rgbColor rgb="FFF3F4F6"/>
      <rgbColor rgb="FFCC99FF"/>
      <rgbColor rgb="FFFEE2E2"/>
      <rgbColor rgb="FF2563EB"/>
      <rgbColor rgb="FF33CCCC"/>
      <rgbColor rgb="FF99CC00"/>
      <rgbColor rgb="FFFFCC00"/>
      <rgbColor rgb="FFFF9900"/>
      <rgbColor rgb="FFD97706"/>
      <rgbColor rgb="FF6B7280"/>
      <rgbColor rgb="FF969696"/>
      <rgbColor rgb="FF1A365D"/>
      <rgbColor rgb="FF22863A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2"/>
    <col collapsed="false" customWidth="true" hidden="false" outlineLevel="0" max="3" min="3" style="0" width="22"/>
    <col collapsed="false" customWidth="true" hidden="false" outlineLevel="0" max="4" min="4" style="0" width="8"/>
    <col collapsed="false" customWidth="true" hidden="false" outlineLevel="0" max="6" min="5" style="0" width="10"/>
    <col collapsed="false" customWidth="true" hidden="false" outlineLevel="0" max="7" min="7" style="0" width="24"/>
    <col collapsed="false" customWidth="true" hidden="false" outlineLevel="0" max="8" min="8" style="0" width="16"/>
    <col collapsed="false" customWidth="true" hidden="false" outlineLevel="0" max="9" min="9" style="0" width="14"/>
    <col collapsed="false" customWidth="true" hidden="false" outlineLevel="0" max="10" min="10" style="0" width="22"/>
  </cols>
  <sheetData>
    <row r="1" customFormat="false" ht="34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26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customFormat="false" ht="15" hidden="false" customHeight="false" outlineLevel="0" collapsed="false">
      <c r="A5" s="4" t="s">
        <v>12</v>
      </c>
      <c r="B5" s="4" t="s">
        <v>13</v>
      </c>
      <c r="C5" s="4" t="s">
        <v>14</v>
      </c>
      <c r="D5" s="5" t="s">
        <v>15</v>
      </c>
      <c r="E5" s="6" t="s">
        <v>16</v>
      </c>
      <c r="F5" s="5" t="n">
        <v>5</v>
      </c>
      <c r="G5" s="4" t="s">
        <v>17</v>
      </c>
      <c r="H5" s="4" t="s">
        <v>18</v>
      </c>
      <c r="I5" s="4" t="s">
        <v>19</v>
      </c>
      <c r="J5" s="4"/>
    </row>
    <row r="6" customFormat="false" ht="15" hidden="false" customHeight="false" outlineLevel="0" collapsed="false">
      <c r="A6" s="7" t="s">
        <v>20</v>
      </c>
      <c r="B6" s="7" t="s">
        <v>21</v>
      </c>
      <c r="C6" s="7" t="s">
        <v>14</v>
      </c>
      <c r="D6" s="8" t="s">
        <v>15</v>
      </c>
      <c r="E6" s="9" t="s">
        <v>16</v>
      </c>
      <c r="F6" s="8" t="n">
        <v>8</v>
      </c>
      <c r="G6" s="7" t="s">
        <v>17</v>
      </c>
      <c r="H6" s="7" t="s">
        <v>22</v>
      </c>
      <c r="I6" s="7" t="s">
        <v>23</v>
      </c>
      <c r="J6" s="7"/>
    </row>
    <row r="7" customFormat="false" ht="23.85" hidden="false" customHeight="false" outlineLevel="0" collapsed="false">
      <c r="A7" s="4" t="s">
        <v>24</v>
      </c>
      <c r="B7" s="4" t="s">
        <v>25</v>
      </c>
      <c r="C7" s="4" t="s">
        <v>14</v>
      </c>
      <c r="D7" s="5" t="s">
        <v>15</v>
      </c>
      <c r="E7" s="6" t="s">
        <v>16</v>
      </c>
      <c r="F7" s="5" t="n">
        <v>8</v>
      </c>
      <c r="G7" s="4" t="s">
        <v>20</v>
      </c>
      <c r="H7" s="4" t="s">
        <v>26</v>
      </c>
      <c r="I7" s="4" t="s">
        <v>19</v>
      </c>
      <c r="J7" s="4"/>
    </row>
    <row r="8" customFormat="false" ht="15" hidden="false" customHeight="false" outlineLevel="0" collapsed="false">
      <c r="A8" s="7" t="s">
        <v>27</v>
      </c>
      <c r="B8" s="7" t="s">
        <v>28</v>
      </c>
      <c r="C8" s="7" t="s">
        <v>14</v>
      </c>
      <c r="D8" s="8" t="s">
        <v>15</v>
      </c>
      <c r="E8" s="9" t="s">
        <v>16</v>
      </c>
      <c r="F8" s="8" t="n">
        <v>6</v>
      </c>
      <c r="G8" s="7" t="s">
        <v>24</v>
      </c>
      <c r="H8" s="7" t="s">
        <v>29</v>
      </c>
      <c r="I8" s="7" t="s">
        <v>19</v>
      </c>
      <c r="J8" s="7"/>
    </row>
    <row r="9" customFormat="false" ht="23.85" hidden="false" customHeight="false" outlineLevel="0" collapsed="false">
      <c r="A9" s="4" t="s">
        <v>30</v>
      </c>
      <c r="B9" s="4" t="s">
        <v>31</v>
      </c>
      <c r="C9" s="4" t="s">
        <v>14</v>
      </c>
      <c r="D9" s="5" t="s">
        <v>15</v>
      </c>
      <c r="E9" s="6" t="s">
        <v>16</v>
      </c>
      <c r="F9" s="5" t="n">
        <v>15</v>
      </c>
      <c r="G9" s="4" t="s">
        <v>32</v>
      </c>
      <c r="H9" s="4" t="s">
        <v>33</v>
      </c>
      <c r="I9" s="4" t="s">
        <v>34</v>
      </c>
      <c r="J9" s="4" t="s">
        <v>35</v>
      </c>
    </row>
    <row r="10" customFormat="false" ht="23.85" hidden="false" customHeight="false" outlineLevel="0" collapsed="false">
      <c r="A10" s="7" t="s">
        <v>36</v>
      </c>
      <c r="B10" s="7" t="s">
        <v>37</v>
      </c>
      <c r="C10" s="7" t="s">
        <v>14</v>
      </c>
      <c r="D10" s="8" t="s">
        <v>15</v>
      </c>
      <c r="E10" s="10" t="s">
        <v>38</v>
      </c>
      <c r="F10" s="8" t="n">
        <v>6</v>
      </c>
      <c r="G10" s="7" t="s">
        <v>30</v>
      </c>
      <c r="H10" s="7" t="s">
        <v>39</v>
      </c>
      <c r="I10" s="7" t="s">
        <v>40</v>
      </c>
      <c r="J10" s="7"/>
    </row>
    <row r="11" customFormat="false" ht="23.85" hidden="false" customHeight="false" outlineLevel="0" collapsed="false">
      <c r="A11" s="4" t="s">
        <v>41</v>
      </c>
      <c r="B11" s="4" t="s">
        <v>42</v>
      </c>
      <c r="C11" s="4" t="s">
        <v>14</v>
      </c>
      <c r="D11" s="5" t="s">
        <v>15</v>
      </c>
      <c r="E11" s="11" t="s">
        <v>38</v>
      </c>
      <c r="F11" s="5" t="n">
        <v>5</v>
      </c>
      <c r="G11" s="4" t="s">
        <v>43</v>
      </c>
      <c r="H11" s="4" t="s">
        <v>44</v>
      </c>
      <c r="I11" s="4" t="s">
        <v>45</v>
      </c>
      <c r="J11" s="4"/>
    </row>
    <row r="12" customFormat="false" ht="15" hidden="false" customHeight="false" outlineLevel="0" collapsed="false">
      <c r="A12" s="7" t="s">
        <v>46</v>
      </c>
      <c r="B12" s="7" t="s">
        <v>47</v>
      </c>
      <c r="C12" s="7" t="s">
        <v>14</v>
      </c>
      <c r="D12" s="8" t="s">
        <v>15</v>
      </c>
      <c r="E12" s="9" t="s">
        <v>16</v>
      </c>
      <c r="F12" s="8" t="n">
        <v>5</v>
      </c>
      <c r="G12" s="7" t="s">
        <v>48</v>
      </c>
      <c r="H12" s="7" t="s">
        <v>17</v>
      </c>
      <c r="I12" s="7" t="s">
        <v>49</v>
      </c>
      <c r="J12" s="7"/>
    </row>
    <row r="13" customFormat="false" ht="15" hidden="false" customHeight="false" outlineLevel="0" collapsed="false">
      <c r="A13" s="4" t="s">
        <v>50</v>
      </c>
      <c r="B13" s="4" t="s">
        <v>51</v>
      </c>
      <c r="C13" s="4" t="s">
        <v>14</v>
      </c>
      <c r="D13" s="5" t="s">
        <v>15</v>
      </c>
      <c r="E13" s="11" t="s">
        <v>38</v>
      </c>
      <c r="F13" s="5" t="n">
        <v>10</v>
      </c>
      <c r="G13" s="4" t="s">
        <v>46</v>
      </c>
      <c r="H13" s="4" t="s">
        <v>52</v>
      </c>
      <c r="I13" s="4" t="s">
        <v>53</v>
      </c>
      <c r="J13" s="4" t="s">
        <v>54</v>
      </c>
    </row>
    <row r="14" customFormat="false" ht="15" hidden="false" customHeight="false" outlineLevel="0" collapsed="false">
      <c r="A14" s="7" t="s">
        <v>55</v>
      </c>
      <c r="B14" s="7" t="s">
        <v>56</v>
      </c>
      <c r="C14" s="7" t="s">
        <v>14</v>
      </c>
      <c r="D14" s="8" t="s">
        <v>15</v>
      </c>
      <c r="E14" s="12" t="s">
        <v>57</v>
      </c>
      <c r="F14" s="8" t="n">
        <v>5</v>
      </c>
      <c r="G14" s="7" t="s">
        <v>58</v>
      </c>
      <c r="H14" s="7" t="s">
        <v>52</v>
      </c>
      <c r="I14" s="7" t="s">
        <v>49</v>
      </c>
      <c r="J14" s="7"/>
    </row>
    <row r="15" customFormat="false" ht="15" hidden="false" customHeight="false" outlineLevel="0" collapsed="false">
      <c r="A15" s="4" t="s">
        <v>59</v>
      </c>
      <c r="B15" s="4" t="s">
        <v>60</v>
      </c>
      <c r="C15" s="4" t="s">
        <v>61</v>
      </c>
      <c r="D15" s="5" t="s">
        <v>15</v>
      </c>
      <c r="E15" s="6" t="s">
        <v>16</v>
      </c>
      <c r="F15" s="5" t="n">
        <v>4</v>
      </c>
      <c r="G15" s="4" t="s">
        <v>17</v>
      </c>
      <c r="H15" s="4" t="s">
        <v>18</v>
      </c>
      <c r="I15" s="4" t="s">
        <v>62</v>
      </c>
      <c r="J15" s="4"/>
    </row>
    <row r="16" customFormat="false" ht="23.85" hidden="false" customHeight="false" outlineLevel="0" collapsed="false">
      <c r="A16" s="7" t="s">
        <v>63</v>
      </c>
      <c r="B16" s="7" t="s">
        <v>64</v>
      </c>
      <c r="C16" s="7" t="s">
        <v>61</v>
      </c>
      <c r="D16" s="8" t="s">
        <v>15</v>
      </c>
      <c r="E16" s="9" t="s">
        <v>16</v>
      </c>
      <c r="F16" s="8" t="n">
        <v>6</v>
      </c>
      <c r="G16" s="7" t="s">
        <v>17</v>
      </c>
      <c r="H16" s="7" t="s">
        <v>65</v>
      </c>
      <c r="I16" s="7" t="s">
        <v>66</v>
      </c>
      <c r="J16" s="7"/>
    </row>
    <row r="17" customFormat="false" ht="15" hidden="false" customHeight="false" outlineLevel="0" collapsed="false">
      <c r="A17" s="4" t="s">
        <v>67</v>
      </c>
      <c r="B17" s="4" t="s">
        <v>68</v>
      </c>
      <c r="C17" s="4" t="s">
        <v>61</v>
      </c>
      <c r="D17" s="5" t="s">
        <v>15</v>
      </c>
      <c r="E17" s="11" t="s">
        <v>38</v>
      </c>
      <c r="F17" s="5" t="n">
        <v>6</v>
      </c>
      <c r="G17" s="4" t="s">
        <v>63</v>
      </c>
      <c r="H17" s="4" t="s">
        <v>69</v>
      </c>
      <c r="I17" s="4" t="s">
        <v>53</v>
      </c>
      <c r="J17" s="4"/>
    </row>
    <row r="18" customFormat="false" ht="15" hidden="false" customHeight="false" outlineLevel="0" collapsed="false">
      <c r="A18" s="7" t="s">
        <v>70</v>
      </c>
      <c r="B18" s="7" t="s">
        <v>71</v>
      </c>
      <c r="C18" s="7" t="s">
        <v>61</v>
      </c>
      <c r="D18" s="8" t="s">
        <v>15</v>
      </c>
      <c r="E18" s="10" t="s">
        <v>38</v>
      </c>
      <c r="F18" s="8" t="n">
        <v>5</v>
      </c>
      <c r="G18" s="7" t="s">
        <v>17</v>
      </c>
      <c r="H18" s="7" t="s">
        <v>69</v>
      </c>
      <c r="I18" s="7" t="s">
        <v>72</v>
      </c>
      <c r="J18" s="7"/>
    </row>
    <row r="19" customFormat="false" ht="15" hidden="false" customHeight="false" outlineLevel="0" collapsed="false">
      <c r="A19" s="4" t="s">
        <v>73</v>
      </c>
      <c r="B19" s="4" t="s">
        <v>74</v>
      </c>
      <c r="C19" s="4" t="s">
        <v>61</v>
      </c>
      <c r="D19" s="5" t="s">
        <v>15</v>
      </c>
      <c r="E19" s="6" t="s">
        <v>16</v>
      </c>
      <c r="F19" s="5" t="n">
        <v>8</v>
      </c>
      <c r="G19" s="4" t="s">
        <v>75</v>
      </c>
      <c r="H19" s="4" t="s">
        <v>76</v>
      </c>
      <c r="I19" s="4" t="s">
        <v>62</v>
      </c>
      <c r="J19" s="4"/>
    </row>
    <row r="20" customFormat="false" ht="23.85" hidden="false" customHeight="false" outlineLevel="0" collapsed="false">
      <c r="A20" s="7" t="s">
        <v>77</v>
      </c>
      <c r="B20" s="7" t="s">
        <v>78</v>
      </c>
      <c r="C20" s="7" t="s">
        <v>61</v>
      </c>
      <c r="D20" s="8" t="s">
        <v>15</v>
      </c>
      <c r="E20" s="9" t="s">
        <v>16</v>
      </c>
      <c r="F20" s="8" t="n">
        <v>6</v>
      </c>
      <c r="G20" s="7" t="s">
        <v>73</v>
      </c>
      <c r="H20" s="7" t="s">
        <v>79</v>
      </c>
      <c r="I20" s="7" t="s">
        <v>80</v>
      </c>
      <c r="J20" s="7"/>
    </row>
    <row r="21" customFormat="false" ht="23.85" hidden="false" customHeight="false" outlineLevel="0" collapsed="false">
      <c r="A21" s="4" t="s">
        <v>81</v>
      </c>
      <c r="B21" s="4" t="s">
        <v>82</v>
      </c>
      <c r="C21" s="4" t="s">
        <v>61</v>
      </c>
      <c r="D21" s="5" t="s">
        <v>15</v>
      </c>
      <c r="E21" s="6" t="s">
        <v>16</v>
      </c>
      <c r="F21" s="5" t="n">
        <v>7</v>
      </c>
      <c r="G21" s="4" t="s">
        <v>77</v>
      </c>
      <c r="H21" s="4" t="s">
        <v>83</v>
      </c>
      <c r="I21" s="4" t="s">
        <v>84</v>
      </c>
      <c r="J21" s="4" t="s">
        <v>85</v>
      </c>
    </row>
    <row r="22" customFormat="false" ht="15" hidden="false" customHeight="false" outlineLevel="0" collapsed="false">
      <c r="A22" s="13" t="s">
        <v>86</v>
      </c>
      <c r="B22" s="14" t="s">
        <v>87</v>
      </c>
      <c r="C22" s="14" t="s">
        <v>61</v>
      </c>
      <c r="D22" s="15" t="s">
        <v>15</v>
      </c>
      <c r="E22" s="16" t="s">
        <v>38</v>
      </c>
      <c r="F22" s="15" t="n">
        <v>8</v>
      </c>
      <c r="G22" s="14" t="s">
        <v>73</v>
      </c>
      <c r="H22" s="14" t="s">
        <v>69</v>
      </c>
      <c r="I22" s="14" t="s">
        <v>88</v>
      </c>
      <c r="J22" s="14" t="s">
        <v>89</v>
      </c>
    </row>
    <row r="23" customFormat="false" ht="23.85" hidden="false" customHeight="false" outlineLevel="0" collapsed="false">
      <c r="A23" s="13" t="s">
        <v>90</v>
      </c>
      <c r="B23" s="14" t="s">
        <v>91</v>
      </c>
      <c r="C23" s="14" t="s">
        <v>61</v>
      </c>
      <c r="D23" s="15" t="s">
        <v>15</v>
      </c>
      <c r="E23" s="16" t="s">
        <v>38</v>
      </c>
      <c r="F23" s="15" t="n">
        <v>7</v>
      </c>
      <c r="G23" s="14" t="s">
        <v>92</v>
      </c>
      <c r="H23" s="14" t="s">
        <v>93</v>
      </c>
      <c r="I23" s="14" t="s">
        <v>94</v>
      </c>
      <c r="J23" s="14" t="s">
        <v>95</v>
      </c>
    </row>
    <row r="24" customFormat="false" ht="15" hidden="false" customHeight="false" outlineLevel="0" collapsed="false">
      <c r="A24" s="7" t="s">
        <v>96</v>
      </c>
      <c r="B24" s="7" t="s">
        <v>97</v>
      </c>
      <c r="C24" s="7" t="s">
        <v>98</v>
      </c>
      <c r="D24" s="8" t="s">
        <v>15</v>
      </c>
      <c r="E24" s="9" t="s">
        <v>16</v>
      </c>
      <c r="F24" s="8" t="n">
        <v>5</v>
      </c>
      <c r="G24" s="7" t="s">
        <v>17</v>
      </c>
      <c r="H24" s="7" t="s">
        <v>18</v>
      </c>
      <c r="I24" s="7" t="s">
        <v>99</v>
      </c>
      <c r="J24" s="7"/>
    </row>
    <row r="25" customFormat="false" ht="23.85" hidden="false" customHeight="false" outlineLevel="0" collapsed="false">
      <c r="A25" s="4" t="s">
        <v>100</v>
      </c>
      <c r="B25" s="4" t="s">
        <v>101</v>
      </c>
      <c r="C25" s="4" t="s">
        <v>98</v>
      </c>
      <c r="D25" s="5" t="s">
        <v>15</v>
      </c>
      <c r="E25" s="6" t="s">
        <v>16</v>
      </c>
      <c r="F25" s="5" t="n">
        <v>6</v>
      </c>
      <c r="G25" s="4" t="s">
        <v>77</v>
      </c>
      <c r="H25" s="4" t="s">
        <v>102</v>
      </c>
      <c r="I25" s="4" t="s">
        <v>80</v>
      </c>
      <c r="J25" s="4"/>
    </row>
    <row r="26" customFormat="false" ht="23.85" hidden="false" customHeight="false" outlineLevel="0" collapsed="false">
      <c r="A26" s="7" t="s">
        <v>103</v>
      </c>
      <c r="B26" s="7" t="s">
        <v>104</v>
      </c>
      <c r="C26" s="7" t="s">
        <v>98</v>
      </c>
      <c r="D26" s="8" t="s">
        <v>15</v>
      </c>
      <c r="E26" s="9" t="s">
        <v>16</v>
      </c>
      <c r="F26" s="8" t="n">
        <v>6</v>
      </c>
      <c r="G26" s="7" t="s">
        <v>17</v>
      </c>
      <c r="H26" s="7" t="s">
        <v>102</v>
      </c>
      <c r="I26" s="7" t="s">
        <v>105</v>
      </c>
      <c r="J26" s="7"/>
    </row>
    <row r="27" customFormat="false" ht="15" hidden="false" customHeight="false" outlineLevel="0" collapsed="false">
      <c r="A27" s="4" t="s">
        <v>106</v>
      </c>
      <c r="B27" s="4" t="s">
        <v>107</v>
      </c>
      <c r="C27" s="4" t="s">
        <v>98</v>
      </c>
      <c r="D27" s="5" t="s">
        <v>15</v>
      </c>
      <c r="E27" s="6" t="s">
        <v>16</v>
      </c>
      <c r="F27" s="5" t="n">
        <v>5</v>
      </c>
      <c r="G27" s="4" t="s">
        <v>30</v>
      </c>
      <c r="H27" s="4" t="s">
        <v>102</v>
      </c>
      <c r="I27" s="4" t="s">
        <v>108</v>
      </c>
      <c r="J27" s="4"/>
    </row>
    <row r="28" customFormat="false" ht="15" hidden="false" customHeight="false" outlineLevel="0" collapsed="false">
      <c r="A28" s="7" t="s">
        <v>109</v>
      </c>
      <c r="B28" s="7" t="s">
        <v>110</v>
      </c>
      <c r="C28" s="7" t="s">
        <v>98</v>
      </c>
      <c r="D28" s="8" t="s">
        <v>15</v>
      </c>
      <c r="E28" s="10" t="s">
        <v>38</v>
      </c>
      <c r="F28" s="8" t="n">
        <v>6</v>
      </c>
      <c r="G28" s="7" t="s">
        <v>17</v>
      </c>
      <c r="H28" s="7" t="s">
        <v>102</v>
      </c>
      <c r="I28" s="7" t="s">
        <v>111</v>
      </c>
      <c r="J28" s="7"/>
    </row>
    <row r="29" customFormat="false" ht="15" hidden="false" customHeight="false" outlineLevel="0" collapsed="false">
      <c r="A29" s="4" t="s">
        <v>112</v>
      </c>
      <c r="B29" s="4" t="s">
        <v>113</v>
      </c>
      <c r="C29" s="4" t="s">
        <v>98</v>
      </c>
      <c r="D29" s="5" t="s">
        <v>15</v>
      </c>
      <c r="E29" s="11" t="s">
        <v>38</v>
      </c>
      <c r="F29" s="5" t="n">
        <v>4</v>
      </c>
      <c r="G29" s="4" t="s">
        <v>17</v>
      </c>
      <c r="H29" s="4" t="s">
        <v>114</v>
      </c>
      <c r="I29" s="4" t="s">
        <v>115</v>
      </c>
      <c r="J29" s="4"/>
    </row>
    <row r="30" customFormat="false" ht="15" hidden="false" customHeight="false" outlineLevel="0" collapsed="false">
      <c r="A30" s="13" t="s">
        <v>116</v>
      </c>
      <c r="B30" s="14" t="s">
        <v>117</v>
      </c>
      <c r="C30" s="14" t="s">
        <v>98</v>
      </c>
      <c r="D30" s="15" t="s">
        <v>15</v>
      </c>
      <c r="E30" s="17" t="s">
        <v>57</v>
      </c>
      <c r="F30" s="15" t="n">
        <v>4</v>
      </c>
      <c r="G30" s="14" t="s">
        <v>17</v>
      </c>
      <c r="H30" s="14" t="s">
        <v>17</v>
      </c>
      <c r="I30" s="14" t="s">
        <v>115</v>
      </c>
      <c r="J30" s="14" t="s">
        <v>89</v>
      </c>
    </row>
    <row r="31" customFormat="false" ht="15" hidden="false" customHeight="false" outlineLevel="0" collapsed="false">
      <c r="A31" s="4" t="s">
        <v>118</v>
      </c>
      <c r="B31" s="4" t="s">
        <v>119</v>
      </c>
      <c r="C31" s="4" t="s">
        <v>120</v>
      </c>
      <c r="D31" s="5" t="s">
        <v>15</v>
      </c>
      <c r="E31" s="6" t="s">
        <v>16</v>
      </c>
      <c r="F31" s="5" t="n">
        <v>5</v>
      </c>
      <c r="G31" s="4" t="s">
        <v>17</v>
      </c>
      <c r="H31" s="4" t="s">
        <v>18</v>
      </c>
      <c r="I31" s="4" t="s">
        <v>121</v>
      </c>
      <c r="J31" s="4"/>
    </row>
    <row r="32" customFormat="false" ht="23.85" hidden="false" customHeight="false" outlineLevel="0" collapsed="false">
      <c r="A32" s="7" t="s">
        <v>122</v>
      </c>
      <c r="B32" s="7" t="s">
        <v>123</v>
      </c>
      <c r="C32" s="7" t="s">
        <v>120</v>
      </c>
      <c r="D32" s="8" t="s">
        <v>15</v>
      </c>
      <c r="E32" s="9" t="s">
        <v>16</v>
      </c>
      <c r="F32" s="8" t="n">
        <v>7</v>
      </c>
      <c r="G32" s="7" t="s">
        <v>30</v>
      </c>
      <c r="H32" s="7" t="s">
        <v>124</v>
      </c>
      <c r="I32" s="7" t="s">
        <v>125</v>
      </c>
      <c r="J32" s="7"/>
    </row>
    <row r="33" customFormat="false" ht="23.85" hidden="false" customHeight="false" outlineLevel="0" collapsed="false">
      <c r="A33" s="4" t="s">
        <v>126</v>
      </c>
      <c r="B33" s="4" t="s">
        <v>127</v>
      </c>
      <c r="C33" s="4" t="s">
        <v>120</v>
      </c>
      <c r="D33" s="5" t="s">
        <v>15</v>
      </c>
      <c r="E33" s="6" t="s">
        <v>16</v>
      </c>
      <c r="F33" s="5" t="n">
        <v>7</v>
      </c>
      <c r="G33" s="4" t="s">
        <v>81</v>
      </c>
      <c r="H33" s="4" t="s">
        <v>128</v>
      </c>
      <c r="I33" s="4" t="s">
        <v>94</v>
      </c>
      <c r="J33" s="4" t="s">
        <v>129</v>
      </c>
    </row>
    <row r="34" customFormat="false" ht="23.85" hidden="false" customHeight="false" outlineLevel="0" collapsed="false">
      <c r="A34" s="7" t="s">
        <v>130</v>
      </c>
      <c r="B34" s="7" t="s">
        <v>131</v>
      </c>
      <c r="C34" s="7" t="s">
        <v>120</v>
      </c>
      <c r="D34" s="8" t="s">
        <v>15</v>
      </c>
      <c r="E34" s="10" t="s">
        <v>38</v>
      </c>
      <c r="F34" s="8" t="n">
        <v>6</v>
      </c>
      <c r="G34" s="7" t="s">
        <v>17</v>
      </c>
      <c r="H34" s="7" t="s">
        <v>17</v>
      </c>
      <c r="I34" s="7" t="s">
        <v>132</v>
      </c>
      <c r="J34" s="7"/>
    </row>
    <row r="35" customFormat="false" ht="15" hidden="false" customHeight="false" outlineLevel="0" collapsed="false">
      <c r="A35" s="4" t="s">
        <v>133</v>
      </c>
      <c r="B35" s="4" t="s">
        <v>134</v>
      </c>
      <c r="C35" s="4" t="s">
        <v>120</v>
      </c>
      <c r="D35" s="5" t="s">
        <v>15</v>
      </c>
      <c r="E35" s="11" t="s">
        <v>38</v>
      </c>
      <c r="F35" s="5" t="n">
        <v>5</v>
      </c>
      <c r="G35" s="4" t="s">
        <v>17</v>
      </c>
      <c r="H35" s="4" t="s">
        <v>17</v>
      </c>
      <c r="I35" s="4" t="s">
        <v>88</v>
      </c>
      <c r="J35" s="4"/>
    </row>
    <row r="36" customFormat="false" ht="15" hidden="false" customHeight="false" outlineLevel="0" collapsed="false">
      <c r="A36" s="13" t="s">
        <v>135</v>
      </c>
      <c r="B36" s="14" t="s">
        <v>136</v>
      </c>
      <c r="C36" s="14" t="s">
        <v>120</v>
      </c>
      <c r="D36" s="15" t="s">
        <v>15</v>
      </c>
      <c r="E36" s="16" t="s">
        <v>38</v>
      </c>
      <c r="F36" s="15" t="n">
        <v>8</v>
      </c>
      <c r="G36" s="14" t="s">
        <v>17</v>
      </c>
      <c r="H36" s="14" t="s">
        <v>18</v>
      </c>
      <c r="I36" s="14" t="s">
        <v>137</v>
      </c>
      <c r="J36" s="14" t="s">
        <v>138</v>
      </c>
    </row>
    <row r="37" customFormat="false" ht="15" hidden="false" customHeight="false" outlineLevel="0" collapsed="false">
      <c r="A37" s="13" t="s">
        <v>139</v>
      </c>
      <c r="B37" s="14" t="s">
        <v>140</v>
      </c>
      <c r="C37" s="14" t="s">
        <v>120</v>
      </c>
      <c r="D37" s="15" t="s">
        <v>15</v>
      </c>
      <c r="E37" s="17" t="s">
        <v>57</v>
      </c>
      <c r="F37" s="15" t="n">
        <v>5</v>
      </c>
      <c r="G37" s="14" t="s">
        <v>135</v>
      </c>
      <c r="H37" s="14" t="s">
        <v>17</v>
      </c>
      <c r="I37" s="14" t="s">
        <v>141</v>
      </c>
      <c r="J37" s="14" t="s">
        <v>89</v>
      </c>
    </row>
    <row r="38" customFormat="false" ht="15" hidden="false" customHeight="false" outlineLevel="0" collapsed="false">
      <c r="A38" s="13" t="s">
        <v>142</v>
      </c>
      <c r="B38" s="14" t="s">
        <v>143</v>
      </c>
      <c r="C38" s="14" t="s">
        <v>120</v>
      </c>
      <c r="D38" s="15" t="s">
        <v>15</v>
      </c>
      <c r="E38" s="17" t="s">
        <v>57</v>
      </c>
      <c r="F38" s="15" t="n">
        <v>4</v>
      </c>
      <c r="G38" s="14" t="s">
        <v>135</v>
      </c>
      <c r="H38" s="14" t="s">
        <v>17</v>
      </c>
      <c r="I38" s="14" t="s">
        <v>88</v>
      </c>
      <c r="J38" s="14" t="s">
        <v>89</v>
      </c>
    </row>
    <row r="39" customFormat="false" ht="15" hidden="false" customHeight="false" outlineLevel="0" collapsed="false">
      <c r="A39" s="13" t="s">
        <v>144</v>
      </c>
      <c r="B39" s="14" t="s">
        <v>145</v>
      </c>
      <c r="C39" s="14" t="s">
        <v>120</v>
      </c>
      <c r="D39" s="15" t="s">
        <v>15</v>
      </c>
      <c r="E39" s="18" t="s">
        <v>16</v>
      </c>
      <c r="F39" s="15" t="n">
        <v>8</v>
      </c>
      <c r="G39" s="14" t="s">
        <v>126</v>
      </c>
      <c r="H39" s="14" t="s">
        <v>69</v>
      </c>
      <c r="I39" s="14" t="s">
        <v>146</v>
      </c>
      <c r="J39" s="14" t="s">
        <v>147</v>
      </c>
    </row>
    <row r="40" customFormat="false" ht="23.85" hidden="false" customHeight="false" outlineLevel="0" collapsed="false">
      <c r="A40" s="13" t="s">
        <v>148</v>
      </c>
      <c r="B40" s="14" t="s">
        <v>149</v>
      </c>
      <c r="C40" s="14" t="s">
        <v>120</v>
      </c>
      <c r="D40" s="15" t="s">
        <v>15</v>
      </c>
      <c r="E40" s="18" t="s">
        <v>16</v>
      </c>
      <c r="F40" s="15" t="n">
        <v>12</v>
      </c>
      <c r="G40" s="14" t="s">
        <v>150</v>
      </c>
      <c r="H40" s="14" t="s">
        <v>17</v>
      </c>
      <c r="I40" s="14" t="s">
        <v>53</v>
      </c>
      <c r="J40" s="14" t="s">
        <v>151</v>
      </c>
    </row>
    <row r="41" customFormat="false" ht="15" hidden="false" customHeight="false" outlineLevel="0" collapsed="false">
      <c r="A41" s="4" t="s">
        <v>48</v>
      </c>
      <c r="B41" s="4" t="s">
        <v>152</v>
      </c>
      <c r="C41" s="4" t="s">
        <v>153</v>
      </c>
      <c r="D41" s="5" t="s">
        <v>15</v>
      </c>
      <c r="E41" s="6" t="s">
        <v>16</v>
      </c>
      <c r="F41" s="5" t="n">
        <v>5</v>
      </c>
      <c r="G41" s="4" t="s">
        <v>17</v>
      </c>
      <c r="H41" s="4" t="s">
        <v>114</v>
      </c>
      <c r="I41" s="4" t="s">
        <v>154</v>
      </c>
      <c r="J41" s="4"/>
    </row>
    <row r="42" customFormat="false" ht="15" hidden="false" customHeight="false" outlineLevel="0" collapsed="false">
      <c r="A42" s="7" t="s">
        <v>155</v>
      </c>
      <c r="B42" s="7" t="s">
        <v>156</v>
      </c>
      <c r="C42" s="7" t="s">
        <v>153</v>
      </c>
      <c r="D42" s="8" t="s">
        <v>15</v>
      </c>
      <c r="E42" s="9" t="s">
        <v>16</v>
      </c>
      <c r="F42" s="8" t="n">
        <v>5</v>
      </c>
      <c r="G42" s="7" t="s">
        <v>17</v>
      </c>
      <c r="H42" s="7" t="s">
        <v>44</v>
      </c>
      <c r="I42" s="7" t="s">
        <v>157</v>
      </c>
      <c r="J42" s="7"/>
    </row>
    <row r="43" customFormat="false" ht="15" hidden="false" customHeight="false" outlineLevel="0" collapsed="false">
      <c r="A43" s="4" t="s">
        <v>158</v>
      </c>
      <c r="B43" s="4" t="s">
        <v>159</v>
      </c>
      <c r="C43" s="4" t="s">
        <v>153</v>
      </c>
      <c r="D43" s="5" t="s">
        <v>15</v>
      </c>
      <c r="E43" s="6" t="s">
        <v>16</v>
      </c>
      <c r="F43" s="5" t="n">
        <v>5</v>
      </c>
      <c r="G43" s="4" t="s">
        <v>17</v>
      </c>
      <c r="H43" s="4" t="s">
        <v>69</v>
      </c>
      <c r="I43" s="4" t="s">
        <v>72</v>
      </c>
      <c r="J43" s="4"/>
    </row>
    <row r="44" customFormat="false" ht="15" hidden="false" customHeight="false" outlineLevel="0" collapsed="false">
      <c r="A44" s="7" t="s">
        <v>160</v>
      </c>
      <c r="B44" s="7" t="s">
        <v>161</v>
      </c>
      <c r="C44" s="7" t="s">
        <v>153</v>
      </c>
      <c r="D44" s="8" t="s">
        <v>15</v>
      </c>
      <c r="E44" s="10" t="s">
        <v>38</v>
      </c>
      <c r="F44" s="8" t="n">
        <v>4</v>
      </c>
      <c r="G44" s="7" t="s">
        <v>17</v>
      </c>
      <c r="H44" s="7" t="s">
        <v>17</v>
      </c>
      <c r="I44" s="7" t="s">
        <v>162</v>
      </c>
      <c r="J44" s="7"/>
    </row>
    <row r="45" customFormat="false" ht="15" hidden="false" customHeight="false" outlineLevel="0" collapsed="false">
      <c r="A45" s="4" t="s">
        <v>163</v>
      </c>
      <c r="B45" s="4" t="s">
        <v>164</v>
      </c>
      <c r="C45" s="4" t="s">
        <v>153</v>
      </c>
      <c r="D45" s="5" t="s">
        <v>15</v>
      </c>
      <c r="E45" s="11" t="s">
        <v>38</v>
      </c>
      <c r="F45" s="5" t="n">
        <v>3</v>
      </c>
      <c r="G45" s="4" t="s">
        <v>17</v>
      </c>
      <c r="H45" s="4" t="s">
        <v>17</v>
      </c>
      <c r="I45" s="4" t="s">
        <v>99</v>
      </c>
      <c r="J45" s="4"/>
    </row>
    <row r="46" customFormat="false" ht="15" hidden="false" customHeight="false" outlineLevel="0" collapsed="false">
      <c r="A46" s="7" t="s">
        <v>165</v>
      </c>
      <c r="B46" s="7" t="s">
        <v>166</v>
      </c>
      <c r="C46" s="7" t="s">
        <v>153</v>
      </c>
      <c r="D46" s="8" t="s">
        <v>15</v>
      </c>
      <c r="E46" s="9" t="s">
        <v>16</v>
      </c>
      <c r="F46" s="8" t="n">
        <v>3</v>
      </c>
      <c r="G46" s="7" t="s">
        <v>17</v>
      </c>
      <c r="H46" s="7" t="s">
        <v>17</v>
      </c>
      <c r="I46" s="7" t="s">
        <v>167</v>
      </c>
      <c r="J46" s="7"/>
    </row>
    <row r="47" customFormat="false" ht="15" hidden="false" customHeight="false" outlineLevel="0" collapsed="false">
      <c r="A47" s="4" t="s">
        <v>168</v>
      </c>
      <c r="B47" s="4" t="s">
        <v>169</v>
      </c>
      <c r="C47" s="4" t="s">
        <v>153</v>
      </c>
      <c r="D47" s="5" t="s">
        <v>15</v>
      </c>
      <c r="E47" s="6" t="s">
        <v>16</v>
      </c>
      <c r="F47" s="5" t="n">
        <v>3</v>
      </c>
      <c r="G47" s="4" t="s">
        <v>17</v>
      </c>
      <c r="H47" s="4" t="s">
        <v>17</v>
      </c>
      <c r="I47" s="4" t="s">
        <v>170</v>
      </c>
      <c r="J47" s="4"/>
    </row>
    <row r="48" customFormat="false" ht="15" hidden="false" customHeight="false" outlineLevel="0" collapsed="false">
      <c r="A48" s="7" t="s">
        <v>171</v>
      </c>
      <c r="B48" s="7" t="s">
        <v>172</v>
      </c>
      <c r="C48" s="7" t="s">
        <v>153</v>
      </c>
      <c r="D48" s="8" t="s">
        <v>15</v>
      </c>
      <c r="E48" s="9" t="s">
        <v>16</v>
      </c>
      <c r="F48" s="8" t="n">
        <v>8</v>
      </c>
      <c r="G48" s="7" t="s">
        <v>17</v>
      </c>
      <c r="H48" s="7" t="s">
        <v>17</v>
      </c>
      <c r="I48" s="7" t="s">
        <v>173</v>
      </c>
      <c r="J48" s="7"/>
    </row>
    <row r="49" customFormat="false" ht="15" hidden="false" customHeight="false" outlineLevel="0" collapsed="false">
      <c r="A49" s="4" t="s">
        <v>174</v>
      </c>
      <c r="B49" s="4" t="s">
        <v>175</v>
      </c>
      <c r="C49" s="4" t="s">
        <v>153</v>
      </c>
      <c r="D49" s="5" t="s">
        <v>15</v>
      </c>
      <c r="E49" s="6" t="s">
        <v>16</v>
      </c>
      <c r="F49" s="5" t="n">
        <v>4</v>
      </c>
      <c r="G49" s="4" t="s">
        <v>17</v>
      </c>
      <c r="H49" s="4" t="s">
        <v>17</v>
      </c>
      <c r="I49" s="4" t="s">
        <v>176</v>
      </c>
      <c r="J49" s="4"/>
    </row>
    <row r="50" customFormat="false" ht="15" hidden="false" customHeight="false" outlineLevel="0" collapsed="false">
      <c r="A50" s="7" t="s">
        <v>177</v>
      </c>
      <c r="B50" s="7" t="s">
        <v>178</v>
      </c>
      <c r="C50" s="7" t="s">
        <v>153</v>
      </c>
      <c r="D50" s="8" t="s">
        <v>15</v>
      </c>
      <c r="E50" s="10" t="s">
        <v>38</v>
      </c>
      <c r="F50" s="8" t="n">
        <v>3</v>
      </c>
      <c r="G50" s="7" t="s">
        <v>17</v>
      </c>
      <c r="H50" s="7" t="s">
        <v>17</v>
      </c>
      <c r="I50" s="7" t="s">
        <v>179</v>
      </c>
      <c r="J50" s="7"/>
    </row>
    <row r="51" customFormat="false" ht="15" hidden="false" customHeight="false" outlineLevel="0" collapsed="false">
      <c r="A51" s="4" t="s">
        <v>180</v>
      </c>
      <c r="B51" s="4" t="s">
        <v>181</v>
      </c>
      <c r="C51" s="4" t="s">
        <v>153</v>
      </c>
      <c r="D51" s="5" t="s">
        <v>15</v>
      </c>
      <c r="E51" s="19" t="s">
        <v>57</v>
      </c>
      <c r="F51" s="5" t="n">
        <v>3</v>
      </c>
      <c r="G51" s="4" t="s">
        <v>17</v>
      </c>
      <c r="H51" s="4" t="s">
        <v>17</v>
      </c>
      <c r="I51" s="4" t="s">
        <v>182</v>
      </c>
      <c r="J51" s="4"/>
    </row>
    <row r="52" customFormat="false" ht="15" hidden="false" customHeight="false" outlineLevel="0" collapsed="false">
      <c r="A52" s="7" t="s">
        <v>43</v>
      </c>
      <c r="B52" s="7" t="s">
        <v>183</v>
      </c>
      <c r="C52" s="7" t="s">
        <v>153</v>
      </c>
      <c r="D52" s="8" t="s">
        <v>15</v>
      </c>
      <c r="E52" s="9" t="s">
        <v>16</v>
      </c>
      <c r="F52" s="8" t="n">
        <v>6</v>
      </c>
      <c r="G52" s="7" t="s">
        <v>171</v>
      </c>
      <c r="H52" s="7" t="s">
        <v>17</v>
      </c>
      <c r="I52" s="7" t="s">
        <v>184</v>
      </c>
      <c r="J52" s="7"/>
    </row>
    <row r="53" customFormat="false" ht="15" hidden="false" customHeight="false" outlineLevel="0" collapsed="false">
      <c r="A53" s="4" t="s">
        <v>185</v>
      </c>
      <c r="B53" s="4" t="s">
        <v>186</v>
      </c>
      <c r="C53" s="4" t="s">
        <v>153</v>
      </c>
      <c r="D53" s="5" t="s">
        <v>15</v>
      </c>
      <c r="E53" s="11" t="s">
        <v>38</v>
      </c>
      <c r="F53" s="5" t="n">
        <v>4</v>
      </c>
      <c r="G53" s="4" t="s">
        <v>17</v>
      </c>
      <c r="H53" s="4" t="s">
        <v>17</v>
      </c>
      <c r="I53" s="4" t="s">
        <v>187</v>
      </c>
      <c r="J53" s="4"/>
    </row>
    <row r="54" customFormat="false" ht="15" hidden="false" customHeight="false" outlineLevel="0" collapsed="false">
      <c r="A54" s="13" t="s">
        <v>188</v>
      </c>
      <c r="B54" s="14" t="s">
        <v>189</v>
      </c>
      <c r="C54" s="14" t="s">
        <v>153</v>
      </c>
      <c r="D54" s="15" t="s">
        <v>15</v>
      </c>
      <c r="E54" s="18" t="s">
        <v>16</v>
      </c>
      <c r="F54" s="15" t="n">
        <v>5</v>
      </c>
      <c r="G54" s="14" t="s">
        <v>17</v>
      </c>
      <c r="H54" s="14" t="s">
        <v>17</v>
      </c>
      <c r="I54" s="14" t="s">
        <v>190</v>
      </c>
      <c r="J54" s="14" t="s">
        <v>191</v>
      </c>
    </row>
    <row r="55" customFormat="false" ht="15" hidden="false" customHeight="false" outlineLevel="0" collapsed="false">
      <c r="A55" s="4" t="s">
        <v>192</v>
      </c>
      <c r="B55" s="4" t="s">
        <v>193</v>
      </c>
      <c r="C55" s="4" t="s">
        <v>14</v>
      </c>
      <c r="D55" s="5" t="s">
        <v>194</v>
      </c>
      <c r="E55" s="11" t="s">
        <v>38</v>
      </c>
      <c r="F55" s="5" t="n">
        <v>8</v>
      </c>
      <c r="G55" s="4" t="s">
        <v>50</v>
      </c>
      <c r="H55" s="4" t="s">
        <v>52</v>
      </c>
      <c r="I55" s="4" t="s">
        <v>53</v>
      </c>
      <c r="J55" s="4"/>
    </row>
    <row r="56" customFormat="false" ht="15" hidden="false" customHeight="false" outlineLevel="0" collapsed="false">
      <c r="A56" s="20" t="s">
        <v>195</v>
      </c>
      <c r="B56" s="20" t="s">
        <v>196</v>
      </c>
      <c r="C56" s="20" t="s">
        <v>14</v>
      </c>
      <c r="D56" s="21" t="s">
        <v>194</v>
      </c>
      <c r="E56" s="22" t="s">
        <v>57</v>
      </c>
      <c r="F56" s="21" t="n">
        <v>5</v>
      </c>
      <c r="G56" s="20" t="s">
        <v>46</v>
      </c>
      <c r="H56" s="20" t="s">
        <v>17</v>
      </c>
      <c r="I56" s="20" t="s">
        <v>53</v>
      </c>
      <c r="J56" s="20"/>
    </row>
    <row r="57" customFormat="false" ht="15" hidden="false" customHeight="false" outlineLevel="0" collapsed="false">
      <c r="A57" s="4" t="s">
        <v>197</v>
      </c>
      <c r="B57" s="4" t="s">
        <v>198</v>
      </c>
      <c r="C57" s="4" t="s">
        <v>199</v>
      </c>
      <c r="D57" s="5" t="s">
        <v>194</v>
      </c>
      <c r="E57" s="6" t="s">
        <v>16</v>
      </c>
      <c r="F57" s="5" t="n">
        <v>5</v>
      </c>
      <c r="G57" s="4" t="s">
        <v>17</v>
      </c>
      <c r="H57" s="4" t="s">
        <v>18</v>
      </c>
      <c r="I57" s="4" t="s">
        <v>200</v>
      </c>
      <c r="J57" s="4"/>
    </row>
    <row r="58" customFormat="false" ht="15" hidden="false" customHeight="false" outlineLevel="0" collapsed="false">
      <c r="A58" s="20" t="s">
        <v>201</v>
      </c>
      <c r="B58" s="20" t="s">
        <v>202</v>
      </c>
      <c r="C58" s="20" t="s">
        <v>199</v>
      </c>
      <c r="D58" s="21" t="s">
        <v>194</v>
      </c>
      <c r="E58" s="23" t="s">
        <v>16</v>
      </c>
      <c r="F58" s="21" t="n">
        <v>6</v>
      </c>
      <c r="G58" s="20" t="s">
        <v>17</v>
      </c>
      <c r="H58" s="20" t="s">
        <v>203</v>
      </c>
      <c r="I58" s="20" t="s">
        <v>200</v>
      </c>
      <c r="J58" s="20"/>
    </row>
    <row r="59" customFormat="false" ht="15" hidden="false" customHeight="false" outlineLevel="0" collapsed="false">
      <c r="A59" s="4" t="s">
        <v>204</v>
      </c>
      <c r="B59" s="4" t="s">
        <v>205</v>
      </c>
      <c r="C59" s="4" t="s">
        <v>199</v>
      </c>
      <c r="D59" s="5" t="s">
        <v>194</v>
      </c>
      <c r="E59" s="6" t="s">
        <v>16</v>
      </c>
      <c r="F59" s="5" t="n">
        <v>8</v>
      </c>
      <c r="G59" s="4" t="s">
        <v>201</v>
      </c>
      <c r="H59" s="4" t="s">
        <v>102</v>
      </c>
      <c r="I59" s="4" t="s">
        <v>200</v>
      </c>
      <c r="J59" s="4"/>
    </row>
    <row r="60" customFormat="false" ht="15" hidden="false" customHeight="false" outlineLevel="0" collapsed="false">
      <c r="A60" s="20" t="s">
        <v>206</v>
      </c>
      <c r="B60" s="20" t="s">
        <v>207</v>
      </c>
      <c r="C60" s="20" t="s">
        <v>199</v>
      </c>
      <c r="D60" s="21" t="s">
        <v>194</v>
      </c>
      <c r="E60" s="24" t="s">
        <v>38</v>
      </c>
      <c r="F60" s="21" t="n">
        <v>5</v>
      </c>
      <c r="G60" s="20" t="s">
        <v>204</v>
      </c>
      <c r="H60" s="20" t="s">
        <v>102</v>
      </c>
      <c r="I60" s="20" t="s">
        <v>200</v>
      </c>
      <c r="J60" s="20"/>
    </row>
    <row r="61" customFormat="false" ht="15" hidden="false" customHeight="false" outlineLevel="0" collapsed="false">
      <c r="A61" s="4" t="s">
        <v>208</v>
      </c>
      <c r="B61" s="4" t="s">
        <v>209</v>
      </c>
      <c r="C61" s="4" t="s">
        <v>199</v>
      </c>
      <c r="D61" s="5" t="s">
        <v>194</v>
      </c>
      <c r="E61" s="11" t="s">
        <v>38</v>
      </c>
      <c r="F61" s="5" t="n">
        <v>4</v>
      </c>
      <c r="G61" s="4" t="s">
        <v>204</v>
      </c>
      <c r="H61" s="4" t="s">
        <v>17</v>
      </c>
      <c r="I61" s="4" t="s">
        <v>200</v>
      </c>
      <c r="J61" s="4"/>
    </row>
    <row r="62" customFormat="false" ht="15" hidden="false" customHeight="false" outlineLevel="0" collapsed="false">
      <c r="A62" s="20" t="s">
        <v>210</v>
      </c>
      <c r="B62" s="20" t="s">
        <v>211</v>
      </c>
      <c r="C62" s="20" t="s">
        <v>199</v>
      </c>
      <c r="D62" s="21" t="s">
        <v>194</v>
      </c>
      <c r="E62" s="23" t="s">
        <v>16</v>
      </c>
      <c r="F62" s="21" t="n">
        <v>8</v>
      </c>
      <c r="G62" s="20" t="s">
        <v>30</v>
      </c>
      <c r="H62" s="20" t="s">
        <v>212</v>
      </c>
      <c r="I62" s="20" t="s">
        <v>200</v>
      </c>
      <c r="J62" s="20"/>
    </row>
    <row r="63" customFormat="false" ht="15" hidden="false" customHeight="false" outlineLevel="0" collapsed="false">
      <c r="A63" s="4" t="s">
        <v>213</v>
      </c>
      <c r="B63" s="4" t="s">
        <v>214</v>
      </c>
      <c r="C63" s="4" t="s">
        <v>199</v>
      </c>
      <c r="D63" s="5" t="s">
        <v>194</v>
      </c>
      <c r="E63" s="11" t="s">
        <v>38</v>
      </c>
      <c r="F63" s="5" t="n">
        <v>5</v>
      </c>
      <c r="G63" s="4" t="s">
        <v>17</v>
      </c>
      <c r="H63" s="4" t="s">
        <v>203</v>
      </c>
      <c r="I63" s="4" t="s">
        <v>53</v>
      </c>
      <c r="J63" s="4"/>
    </row>
    <row r="64" customFormat="false" ht="15" hidden="false" customHeight="false" outlineLevel="0" collapsed="false">
      <c r="A64" s="20" t="s">
        <v>215</v>
      </c>
      <c r="B64" s="20" t="s">
        <v>216</v>
      </c>
      <c r="C64" s="20" t="s">
        <v>199</v>
      </c>
      <c r="D64" s="21" t="s">
        <v>194</v>
      </c>
      <c r="E64" s="24" t="s">
        <v>38</v>
      </c>
      <c r="F64" s="21" t="n">
        <v>4</v>
      </c>
      <c r="G64" s="20" t="s">
        <v>213</v>
      </c>
      <c r="H64" s="20" t="s">
        <v>18</v>
      </c>
      <c r="I64" s="20" t="s">
        <v>53</v>
      </c>
      <c r="J64" s="20"/>
    </row>
    <row r="65" customFormat="false" ht="23.85" hidden="false" customHeight="false" outlineLevel="0" collapsed="false">
      <c r="A65" s="4" t="s">
        <v>217</v>
      </c>
      <c r="B65" s="4" t="s">
        <v>218</v>
      </c>
      <c r="C65" s="4" t="s">
        <v>199</v>
      </c>
      <c r="D65" s="5" t="s">
        <v>194</v>
      </c>
      <c r="E65" s="11" t="s">
        <v>38</v>
      </c>
      <c r="F65" s="5" t="n">
        <v>5</v>
      </c>
      <c r="G65" s="4" t="s">
        <v>215</v>
      </c>
      <c r="H65" s="4" t="s">
        <v>17</v>
      </c>
      <c r="I65" s="4" t="s">
        <v>219</v>
      </c>
      <c r="J65" s="4"/>
    </row>
    <row r="66" customFormat="false" ht="15" hidden="false" customHeight="false" outlineLevel="0" collapsed="false">
      <c r="A66" s="20" t="s">
        <v>220</v>
      </c>
      <c r="B66" s="20" t="s">
        <v>221</v>
      </c>
      <c r="C66" s="20" t="s">
        <v>120</v>
      </c>
      <c r="D66" s="21" t="s">
        <v>194</v>
      </c>
      <c r="E66" s="24" t="s">
        <v>38</v>
      </c>
      <c r="F66" s="21" t="n">
        <v>5</v>
      </c>
      <c r="G66" s="20" t="s">
        <v>17</v>
      </c>
      <c r="H66" s="20" t="s">
        <v>222</v>
      </c>
      <c r="I66" s="20" t="s">
        <v>88</v>
      </c>
      <c r="J66" s="20"/>
    </row>
    <row r="67" customFormat="false" ht="15" hidden="false" customHeight="false" outlineLevel="0" collapsed="false">
      <c r="A67" s="4" t="s">
        <v>223</v>
      </c>
      <c r="B67" s="4" t="s">
        <v>224</v>
      </c>
      <c r="C67" s="4" t="s">
        <v>120</v>
      </c>
      <c r="D67" s="5" t="s">
        <v>194</v>
      </c>
      <c r="E67" s="11" t="s">
        <v>38</v>
      </c>
      <c r="F67" s="5" t="n">
        <v>6</v>
      </c>
      <c r="G67" s="4" t="s">
        <v>41</v>
      </c>
      <c r="H67" s="4" t="s">
        <v>44</v>
      </c>
      <c r="I67" s="4" t="s">
        <v>225</v>
      </c>
      <c r="J67" s="4"/>
    </row>
    <row r="68" customFormat="false" ht="15" hidden="false" customHeight="false" outlineLevel="0" collapsed="false">
      <c r="A68" s="13" t="s">
        <v>226</v>
      </c>
      <c r="B68" s="14" t="s">
        <v>227</v>
      </c>
      <c r="C68" s="14" t="s">
        <v>120</v>
      </c>
      <c r="D68" s="15" t="s">
        <v>194</v>
      </c>
      <c r="E68" s="16" t="s">
        <v>38</v>
      </c>
      <c r="F68" s="15" t="n">
        <v>5</v>
      </c>
      <c r="G68" s="14" t="s">
        <v>86</v>
      </c>
      <c r="H68" s="14" t="s">
        <v>17</v>
      </c>
      <c r="I68" s="14" t="s">
        <v>88</v>
      </c>
      <c r="J68" s="14" t="s">
        <v>89</v>
      </c>
    </row>
    <row r="69" customFormat="false" ht="15" hidden="false" customHeight="false" outlineLevel="0" collapsed="false">
      <c r="A69" s="4" t="s">
        <v>228</v>
      </c>
      <c r="B69" s="4" t="s">
        <v>229</v>
      </c>
      <c r="C69" s="4" t="s">
        <v>230</v>
      </c>
      <c r="D69" s="5" t="s">
        <v>194</v>
      </c>
      <c r="E69" s="11" t="s">
        <v>38</v>
      </c>
      <c r="F69" s="5" t="n">
        <v>4</v>
      </c>
      <c r="G69" s="4" t="s">
        <v>17</v>
      </c>
      <c r="H69" s="4" t="s">
        <v>17</v>
      </c>
      <c r="I69" s="4" t="s">
        <v>53</v>
      </c>
      <c r="J69" s="4"/>
    </row>
    <row r="70" customFormat="false" ht="15" hidden="false" customHeight="false" outlineLevel="0" collapsed="false">
      <c r="A70" s="20" t="s">
        <v>231</v>
      </c>
      <c r="B70" s="20" t="s">
        <v>232</v>
      </c>
      <c r="C70" s="20" t="s">
        <v>230</v>
      </c>
      <c r="D70" s="21" t="s">
        <v>194</v>
      </c>
      <c r="E70" s="24" t="s">
        <v>38</v>
      </c>
      <c r="F70" s="21" t="n">
        <v>5</v>
      </c>
      <c r="G70" s="20" t="s">
        <v>17</v>
      </c>
      <c r="H70" s="20" t="s">
        <v>17</v>
      </c>
      <c r="I70" s="20" t="s">
        <v>53</v>
      </c>
      <c r="J70" s="20"/>
    </row>
    <row r="71" customFormat="false" ht="15" hidden="false" customHeight="false" outlineLevel="0" collapsed="false">
      <c r="A71" s="4" t="s">
        <v>233</v>
      </c>
      <c r="B71" s="4" t="s">
        <v>234</v>
      </c>
      <c r="C71" s="4" t="s">
        <v>230</v>
      </c>
      <c r="D71" s="5" t="s">
        <v>194</v>
      </c>
      <c r="E71" s="11" t="s">
        <v>38</v>
      </c>
      <c r="F71" s="5" t="n">
        <v>4</v>
      </c>
      <c r="G71" s="4" t="s">
        <v>17</v>
      </c>
      <c r="H71" s="4" t="s">
        <v>17</v>
      </c>
      <c r="I71" s="4" t="s">
        <v>53</v>
      </c>
      <c r="J71" s="4"/>
    </row>
    <row r="72" customFormat="false" ht="15" hidden="false" customHeight="false" outlineLevel="0" collapsed="false">
      <c r="A72" s="20" t="s">
        <v>235</v>
      </c>
      <c r="B72" s="20" t="s">
        <v>236</v>
      </c>
      <c r="C72" s="20" t="s">
        <v>230</v>
      </c>
      <c r="D72" s="21" t="s">
        <v>194</v>
      </c>
      <c r="E72" s="22" t="s">
        <v>57</v>
      </c>
      <c r="F72" s="21" t="n">
        <v>3</v>
      </c>
      <c r="G72" s="20" t="s">
        <v>17</v>
      </c>
      <c r="H72" s="20" t="s">
        <v>17</v>
      </c>
      <c r="I72" s="20" t="s">
        <v>53</v>
      </c>
      <c r="J72" s="20"/>
    </row>
    <row r="73" customFormat="false" ht="23.85" hidden="false" customHeight="false" outlineLevel="0" collapsed="false">
      <c r="A73" s="4" t="s">
        <v>237</v>
      </c>
      <c r="B73" s="4" t="s">
        <v>238</v>
      </c>
      <c r="C73" s="4" t="s">
        <v>120</v>
      </c>
      <c r="D73" s="5" t="s">
        <v>239</v>
      </c>
      <c r="E73" s="11" t="s">
        <v>38</v>
      </c>
      <c r="F73" s="5" t="n">
        <v>6</v>
      </c>
      <c r="G73" s="4" t="s">
        <v>240</v>
      </c>
      <c r="H73" s="4" t="s">
        <v>17</v>
      </c>
      <c r="I73" s="4" t="s">
        <v>241</v>
      </c>
      <c r="J73" s="4"/>
    </row>
    <row r="74" customFormat="false" ht="15" hidden="false" customHeight="false" outlineLevel="0" collapsed="false">
      <c r="A74" s="25" t="s">
        <v>242</v>
      </c>
      <c r="B74" s="25" t="s">
        <v>243</v>
      </c>
      <c r="C74" s="25" t="s">
        <v>230</v>
      </c>
      <c r="D74" s="26" t="s">
        <v>239</v>
      </c>
      <c r="E74" s="27" t="s">
        <v>57</v>
      </c>
      <c r="F74" s="26" t="n">
        <v>10</v>
      </c>
      <c r="G74" s="25" t="s">
        <v>17</v>
      </c>
      <c r="H74" s="25" t="s">
        <v>17</v>
      </c>
      <c r="I74" s="25" t="s">
        <v>53</v>
      </c>
      <c r="J74" s="25"/>
    </row>
    <row r="75" customFormat="false" ht="15" hidden="false" customHeight="false" outlineLevel="0" collapsed="false">
      <c r="A75" s="4" t="s">
        <v>244</v>
      </c>
      <c r="B75" s="4" t="s">
        <v>245</v>
      </c>
      <c r="C75" s="4" t="s">
        <v>230</v>
      </c>
      <c r="D75" s="5" t="s">
        <v>239</v>
      </c>
      <c r="E75" s="28" t="s">
        <v>246</v>
      </c>
      <c r="F75" s="5" t="n">
        <v>5</v>
      </c>
      <c r="G75" s="4" t="s">
        <v>17</v>
      </c>
      <c r="H75" s="4" t="s">
        <v>17</v>
      </c>
      <c r="I75" s="4" t="s">
        <v>53</v>
      </c>
      <c r="J75" s="4"/>
    </row>
    <row r="76" customFormat="false" ht="15" hidden="false" customHeight="false" outlineLevel="0" collapsed="false">
      <c r="A76" s="29" t="s">
        <v>247</v>
      </c>
      <c r="B76" s="29"/>
      <c r="C76" s="29"/>
      <c r="D76" s="29"/>
      <c r="E76" s="29"/>
      <c r="F76" s="30" t="n">
        <f aca="false">SUM(F5:F75)</f>
        <v>410</v>
      </c>
      <c r="G76" s="31"/>
      <c r="H76" s="31"/>
      <c r="I76" s="31"/>
      <c r="J76" s="31"/>
    </row>
  </sheetData>
  <autoFilter ref="A4:J75"/>
  <mergeCells count="3">
    <mergeCell ref="A1:J1"/>
    <mergeCell ref="A2:J2"/>
    <mergeCell ref="A76:E7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4" min="4" style="0" width="18"/>
    <col collapsed="false" customWidth="true" hidden="false" outlineLevel="0" max="5" min="5" style="0" width="30"/>
    <col collapsed="false" customWidth="true" hidden="false" outlineLevel="0" max="6" min="6" style="0" width="50"/>
  </cols>
  <sheetData>
    <row r="1" customFormat="false" ht="34.5" hidden="false" customHeight="true" outlineLevel="0" collapsed="false">
      <c r="A1" s="32" t="s">
        <v>248</v>
      </c>
      <c r="B1" s="32"/>
      <c r="C1" s="32"/>
      <c r="D1" s="32"/>
      <c r="E1" s="32"/>
      <c r="F1" s="32"/>
    </row>
    <row r="3" customFormat="false" ht="26.85" hidden="false" customHeight="false" outlineLevel="0" collapsed="false">
      <c r="A3" s="3" t="s">
        <v>5</v>
      </c>
      <c r="B3" s="3" t="s">
        <v>249</v>
      </c>
      <c r="C3" s="3" t="s">
        <v>250</v>
      </c>
      <c r="D3" s="3" t="s">
        <v>251</v>
      </c>
      <c r="E3" s="3" t="s">
        <v>252</v>
      </c>
      <c r="F3" s="3" t="s">
        <v>253</v>
      </c>
    </row>
    <row r="4" customFormat="false" ht="45" hidden="false" customHeight="true" outlineLevel="0" collapsed="false">
      <c r="A4" s="33" t="s">
        <v>15</v>
      </c>
      <c r="B4" s="8" t="s">
        <v>254</v>
      </c>
      <c r="C4" s="8" t="n">
        <f aca="false">SUMPRODUCT((Roadmap!D5:D80="P1")*Roadmap!F5:F80)</f>
        <v>294</v>
      </c>
      <c r="D4" s="8" t="s">
        <v>255</v>
      </c>
      <c r="E4" s="7" t="s">
        <v>256</v>
      </c>
      <c r="F4" s="7" t="s">
        <v>257</v>
      </c>
    </row>
    <row r="5" customFormat="false" ht="45" hidden="false" customHeight="true" outlineLevel="0" collapsed="false">
      <c r="A5" s="34" t="s">
        <v>194</v>
      </c>
      <c r="B5" s="21" t="s">
        <v>258</v>
      </c>
      <c r="C5" s="21" t="n">
        <f aca="false">SUMPRODUCT((Roadmap!D5:D80="P2")*Roadmap!F5:F80)</f>
        <v>95</v>
      </c>
      <c r="D5" s="21" t="s">
        <v>259</v>
      </c>
      <c r="E5" s="20" t="s">
        <v>260</v>
      </c>
      <c r="F5" s="20" t="s">
        <v>261</v>
      </c>
    </row>
    <row r="6" customFormat="false" ht="45" hidden="false" customHeight="true" outlineLevel="0" collapsed="false">
      <c r="A6" s="35" t="s">
        <v>239</v>
      </c>
      <c r="B6" s="26" t="s">
        <v>262</v>
      </c>
      <c r="C6" s="26" t="n">
        <f aca="false">SUMPRODUCT((Roadmap!D5:D80="P3")*Roadmap!F5:F80)</f>
        <v>21</v>
      </c>
      <c r="D6" s="26" t="s">
        <v>263</v>
      </c>
      <c r="E6" s="25" t="s">
        <v>264</v>
      </c>
      <c r="F6" s="25" t="s">
        <v>265</v>
      </c>
    </row>
    <row r="7" customFormat="false" ht="45" hidden="false" customHeight="true" outlineLevel="0" collapsed="false">
      <c r="A7" s="36" t="s">
        <v>266</v>
      </c>
      <c r="B7" s="37" t="s">
        <v>17</v>
      </c>
      <c r="C7" s="37" t="s">
        <v>17</v>
      </c>
      <c r="D7" s="37" t="s">
        <v>263</v>
      </c>
      <c r="E7" s="38" t="s">
        <v>267</v>
      </c>
      <c r="F7" s="38" t="s">
        <v>268</v>
      </c>
    </row>
    <row r="9" customFormat="false" ht="15" hidden="false" customHeight="false" outlineLevel="0" collapsed="false">
      <c r="A9" s="39" t="s">
        <v>269</v>
      </c>
      <c r="B9" s="31"/>
      <c r="C9" s="39" t="n">
        <f aca="false">SUM(C4:C7)</f>
        <v>410</v>
      </c>
      <c r="D9" s="31"/>
      <c r="E9" s="31"/>
      <c r="F9" s="31"/>
    </row>
    <row r="11" customFormat="false" ht="15" hidden="false" customHeight="true" outlineLevel="0" collapsed="false">
      <c r="A11" s="40" t="s">
        <v>270</v>
      </c>
      <c r="B11" s="40"/>
      <c r="C11" s="40"/>
      <c r="D11" s="40"/>
      <c r="E11" s="40"/>
      <c r="F11" s="40"/>
    </row>
    <row r="12" customFormat="false" ht="11.9" hidden="false" customHeight="false" outlineLevel="0" collapsed="false">
      <c r="A12" s="41" t="s">
        <v>271</v>
      </c>
      <c r="B12" s="41"/>
      <c r="C12" s="41"/>
      <c r="D12" s="41"/>
      <c r="E12" s="41"/>
      <c r="F12" s="41"/>
    </row>
  </sheetData>
  <mergeCells count="3">
    <mergeCell ref="A1:F1"/>
    <mergeCell ref="A11:F11"/>
    <mergeCell ref="A12:F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4"/>
    <col collapsed="false" customWidth="true" hidden="false" outlineLevel="0" max="4" min="4" style="0" width="50"/>
  </cols>
  <sheetData>
    <row r="1" customFormat="false" ht="34.5" hidden="false" customHeight="true" outlineLevel="0" collapsed="false">
      <c r="A1" s="32" t="s">
        <v>272</v>
      </c>
      <c r="B1" s="32"/>
      <c r="C1" s="32"/>
      <c r="D1" s="32"/>
    </row>
    <row r="3" customFormat="false" ht="26.85" hidden="false" customHeight="false" outlineLevel="0" collapsed="false">
      <c r="A3" s="3" t="s">
        <v>6</v>
      </c>
      <c r="B3" s="3" t="s">
        <v>273</v>
      </c>
      <c r="C3" s="3" t="s">
        <v>250</v>
      </c>
      <c r="D3" s="3" t="s">
        <v>274</v>
      </c>
    </row>
    <row r="4" customFormat="false" ht="15" hidden="false" customHeight="false" outlineLevel="0" collapsed="false">
      <c r="A4" s="42" t="s">
        <v>16</v>
      </c>
      <c r="B4" s="43" t="n">
        <f aca="false">COUNTIF(Roadmap!E5:E80,"Critical")</f>
        <v>33</v>
      </c>
      <c r="C4" s="43" t="n">
        <f aca="false">SUMPRODUCT((Roadmap!E5:E80="Critical")*Roadmap!F5:F80)</f>
        <v>210</v>
      </c>
      <c r="D4" s="44" t="s">
        <v>275</v>
      </c>
    </row>
    <row r="5" customFormat="false" ht="15" hidden="false" customHeight="false" outlineLevel="0" collapsed="false">
      <c r="A5" s="45" t="s">
        <v>38</v>
      </c>
      <c r="B5" s="46" t="n">
        <f aca="false">COUNTIF(Roadmap!E5:E80,"High")</f>
        <v>29</v>
      </c>
      <c r="C5" s="46" t="n">
        <f aca="false">SUMPRODUCT((Roadmap!E5:E80="High")*Roadmap!F5:F80)</f>
        <v>156</v>
      </c>
      <c r="D5" s="47" t="s">
        <v>276</v>
      </c>
    </row>
    <row r="6" customFormat="false" ht="15" hidden="false" customHeight="false" outlineLevel="0" collapsed="false">
      <c r="A6" s="48" t="s">
        <v>57</v>
      </c>
      <c r="B6" s="49" t="n">
        <f aca="false">COUNTIF(Roadmap!E5:E80,"Medium")</f>
        <v>8</v>
      </c>
      <c r="C6" s="49" t="n">
        <f aca="false">SUMPRODUCT((Roadmap!E5:E80="Medium")*Roadmap!F5:F80)</f>
        <v>39</v>
      </c>
      <c r="D6" s="50" t="s">
        <v>277</v>
      </c>
    </row>
    <row r="7" customFormat="false" ht="15" hidden="false" customHeight="false" outlineLevel="0" collapsed="false">
      <c r="A7" s="51" t="s">
        <v>246</v>
      </c>
      <c r="B7" s="52" t="n">
        <f aca="false">COUNTIF(Roadmap!E5:E80,"Low")</f>
        <v>1</v>
      </c>
      <c r="C7" s="52" t="n">
        <f aca="false">SUMPRODUCT((Roadmap!E5:E80="Low")*Roadmap!F5:F80)</f>
        <v>5</v>
      </c>
      <c r="D7" s="53" t="s">
        <v>278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2026-04-12T15:59:30Z</dcterms:created>
  <dc:creator>openpyxl</dc:creator>
  <dc:description/>
  <dc:language>en-US</dc:language>
  <cp:lastModifiedBy/>
  <dcterms:modified xsi:type="dcterms:W3CDTF">2026-04-12T15:59:30Z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